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Prajval.P\Pictures\Acer Suitcase\"/>
    </mc:Choice>
  </mc:AlternateContent>
  <xr:revisionPtr revIDLastSave="0" documentId="13_ncr:1_{E8C203E2-01AE-4122-9C84-F0B3D6B18D28}" xr6:coauthVersionLast="47" xr6:coauthVersionMax="47" xr10:uidLastSave="{00000000-0000-0000-0000-000000000000}"/>
  <bookViews>
    <workbookView xWindow="-110" yWindow="-110" windowWidth="19420" windowHeight="11500" tabRatio="500" xr2:uid="{00000000-000D-0000-FFFF-FFFF00000000}"/>
  </bookViews>
  <sheets>
    <sheet name="Dashboard" sheetId="1" r:id="rId1"/>
    <sheet name="Product Master" sheetId="2" r:id="rId2"/>
    <sheet name="Weekly Insights" sheetId="3" r:id="rId3"/>
    <sheet name="Suitcase Series" sheetId="4" r:id="rId4"/>
    <sheet name="Pivot Tables" sheetId="5" r:id="rId5"/>
    <sheet name="README" sheetId="6" r:id="rId6"/>
  </sheets>
  <definedNames>
    <definedName name="_xlnm._FilterDatabase" localSheetId="4" hidden="1">'Pivot Tables'!$J$3:$K$5</definedName>
    <definedName name="_xlnm._FilterDatabase" localSheetId="3" hidden="1">'Suitcase Series'!$A$1:$A$7</definedName>
  </definedNames>
  <calcPr calcId="191029"/>
  <pivotCaches>
    <pivotCache cacheId="0" r:id="rId7"/>
    <pivotCache cacheId="1"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 i="4" l="1" a="1"/>
  <c r="K7" i="4" s="1"/>
  <c r="K3" i="4" a="1"/>
  <c r="K3" i="4"/>
  <c r="K2" i="4" a="1"/>
  <c r="K2" i="4" s="1"/>
  <c r="K4" i="4" a="1"/>
  <c r="K4" i="4" s="1"/>
  <c r="K5" i="4" a="1"/>
  <c r="K5" i="4" s="1"/>
  <c r="K6" i="4" a="1"/>
  <c r="K6" i="4" s="1"/>
  <c r="H20" i="5" a="1"/>
  <c r="H20" i="5" s="1"/>
  <c r="H19" i="5" a="1"/>
  <c r="H19" i="5" s="1"/>
  <c r="H18" i="5" a="1"/>
  <c r="H18" i="5" s="1"/>
  <c r="H17" i="5" a="1"/>
  <c r="H17" i="5" s="1"/>
  <c r="J10" i="1"/>
  <c r="G10" i="1"/>
  <c r="A10" i="1"/>
  <c r="D10" i="1"/>
  <c r="H21" i="5" l="1"/>
  <c r="K6" i="5"/>
  <c r="S35" i="3"/>
  <c r="R35" i="3"/>
  <c r="S34" i="3"/>
  <c r="R34" i="3"/>
  <c r="S20" i="3"/>
  <c r="R20" i="3"/>
  <c r="E4" i="4"/>
  <c r="E20" i="5"/>
  <c r="E7" i="5"/>
  <c r="J7" i="4"/>
  <c r="I7" i="4"/>
  <c r="H7" i="4"/>
  <c r="G7" i="4"/>
  <c r="F7" i="4"/>
  <c r="E7" i="4"/>
  <c r="B7" i="4"/>
  <c r="J6" i="4"/>
  <c r="I6" i="4"/>
  <c r="H6" i="4"/>
  <c r="G6" i="4"/>
  <c r="F6" i="4"/>
  <c r="E6" i="4"/>
  <c r="B6" i="4"/>
  <c r="J5" i="4"/>
  <c r="I5" i="4"/>
  <c r="H5" i="4"/>
  <c r="G5" i="4"/>
  <c r="F5" i="4"/>
  <c r="E5" i="4"/>
  <c r="B5" i="4"/>
  <c r="J4" i="4"/>
  <c r="I4" i="4"/>
  <c r="H4" i="4"/>
  <c r="G4" i="4"/>
  <c r="F4" i="4"/>
  <c r="B4" i="4"/>
  <c r="J3" i="4"/>
  <c r="I3" i="4"/>
  <c r="H3" i="4"/>
  <c r="G3" i="4"/>
  <c r="F3" i="4"/>
  <c r="E3" i="4"/>
  <c r="B3" i="4"/>
  <c r="J2" i="4"/>
  <c r="I2" i="4"/>
  <c r="H2" i="4"/>
  <c r="G2" i="4"/>
  <c r="F2" i="4"/>
  <c r="E2" i="4"/>
  <c r="B2" i="4"/>
  <c r="Q47" i="3"/>
  <c r="P47" i="3"/>
  <c r="O47" i="3"/>
  <c r="N47" i="3"/>
  <c r="M47" i="3"/>
  <c r="L47" i="3"/>
  <c r="K47" i="3"/>
  <c r="J47" i="3"/>
  <c r="I47" i="3"/>
  <c r="H47" i="3"/>
  <c r="G47" i="3"/>
  <c r="S46" i="3"/>
  <c r="R46" i="3"/>
  <c r="S45" i="3"/>
  <c r="R45" i="3"/>
  <c r="S44" i="3"/>
  <c r="R44" i="3"/>
  <c r="S43" i="3"/>
  <c r="R43" i="3"/>
  <c r="S42" i="3"/>
  <c r="R42" i="3"/>
  <c r="S41" i="3"/>
  <c r="R41" i="3"/>
  <c r="S40" i="3"/>
  <c r="R40" i="3"/>
  <c r="S39" i="3"/>
  <c r="R39" i="3"/>
  <c r="S38" i="3"/>
  <c r="R38" i="3"/>
  <c r="S37" i="3"/>
  <c r="R37" i="3"/>
  <c r="S36" i="3"/>
  <c r="R36" i="3"/>
  <c r="S33" i="3"/>
  <c r="R33" i="3"/>
  <c r="S32" i="3"/>
  <c r="R32" i="3"/>
  <c r="S31" i="3"/>
  <c r="R31" i="3"/>
  <c r="S30" i="3"/>
  <c r="R30" i="3"/>
  <c r="S29" i="3"/>
  <c r="R29" i="3"/>
  <c r="S28" i="3"/>
  <c r="R28" i="3"/>
  <c r="S27" i="3"/>
  <c r="R27" i="3"/>
  <c r="S26" i="3"/>
  <c r="R26" i="3"/>
  <c r="S25" i="3"/>
  <c r="R25" i="3"/>
  <c r="S24" i="3"/>
  <c r="R24" i="3"/>
  <c r="S23" i="3"/>
  <c r="R23" i="3"/>
  <c r="S22" i="3"/>
  <c r="R22" i="3"/>
  <c r="S21" i="3"/>
  <c r="R21" i="3"/>
  <c r="S19" i="3"/>
  <c r="R19" i="3"/>
  <c r="S18" i="3"/>
  <c r="R18" i="3"/>
  <c r="S17" i="3"/>
  <c r="R17" i="3"/>
  <c r="S16" i="3"/>
  <c r="R16" i="3"/>
  <c r="S15" i="3"/>
  <c r="R15" i="3"/>
  <c r="S14" i="3"/>
  <c r="R14" i="3"/>
  <c r="S13" i="3"/>
  <c r="R13" i="3"/>
  <c r="S12" i="3"/>
  <c r="R12" i="3"/>
  <c r="S11" i="3"/>
  <c r="R11" i="3"/>
  <c r="S10" i="3"/>
  <c r="R10" i="3"/>
  <c r="S9" i="3"/>
  <c r="R9" i="3"/>
  <c r="S8" i="3"/>
  <c r="R8" i="3"/>
  <c r="S7" i="3"/>
  <c r="R7" i="3"/>
  <c r="S6" i="3"/>
  <c r="R6" i="3"/>
  <c r="S5" i="3"/>
  <c r="R5" i="3"/>
  <c r="S4" i="3"/>
  <c r="R4" i="3"/>
  <c r="S3" i="3"/>
  <c r="R3" i="3"/>
  <c r="S2" i="3"/>
  <c r="R2" i="3"/>
  <c r="C3" i="4" l="1"/>
  <c r="C5" i="4"/>
  <c r="C4" i="4"/>
  <c r="S47" i="3"/>
  <c r="C6" i="4"/>
  <c r="D4" i="4"/>
  <c r="C7" i="4"/>
  <c r="C2" i="4"/>
  <c r="D5" i="4"/>
  <c r="D6" i="4"/>
  <c r="G6" i="1"/>
  <c r="R47" i="3"/>
  <c r="D2" i="4"/>
  <c r="D3" i="4"/>
  <c r="D7" i="4"/>
  <c r="A6" i="1" l="1"/>
  <c r="D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<sst xmlns="http://schemas.openxmlformats.org/spreadsheetml/2006/main" count="853" uniqueCount="375">
  <si>
    <t>Marketplace Sales &amp; Inventory Analytics Dashboard</t>
  </si>
  <si>
    <t>Project Overview</t>
  </si>
  <si>
    <t>This project analyzes sales performance and inventory distribution across multiple e-commerce marketplaces using Microsoft Excel. The dashboard provides an executive summary of inventory levels, product performance, and marketplace contribution through interactive visualizations, Pivot Tables, KPIs, and business insights.</t>
  </si>
  <si>
    <t>Project Objectives</t>
  </si>
  <si>
    <t>• Analyze sales performance across multiple product series.</t>
  </si>
  <si>
    <t>• Monitor inventory availability across marketplaces.</t>
  </si>
  <si>
    <t>• Compare marketplace sales and stock distribution.</t>
  </si>
  <si>
    <t>• Present executive KPIs through an interactive dashboard.</t>
  </si>
  <si>
    <t>• Support business decision-making through data visualization.</t>
  </si>
  <si>
    <t>Dashboard Components</t>
  </si>
  <si>
    <t>• Executive KPI Cards</t>
  </si>
  <si>
    <t>• Sales by Series Analysis</t>
  </si>
  <si>
    <t>• Inventory by Series Analysis</t>
  </si>
  <si>
    <t>• Marketplace Sales Distribution</t>
  </si>
  <si>
    <t>• Marketplace Stock Distribution</t>
  </si>
  <si>
    <t>• Business Insights</t>
  </si>
  <si>
    <t>Tools &amp; Features Used</t>
  </si>
  <si>
    <t>Key Performance Indicators</t>
  </si>
  <si>
    <t>• Microsoft Excel</t>
  </si>
  <si>
    <t>• Total Sales</t>
  </si>
  <si>
    <t>• Total Inventory</t>
  </si>
  <si>
    <t>• Pivot Tables</t>
  </si>
  <si>
    <t>• Warehouse Stock</t>
  </si>
  <si>
    <t>• Pivot Charts</t>
  </si>
  <si>
    <t>• Active Marketplaces</t>
  </si>
  <si>
    <t>• SUM</t>
  </si>
  <si>
    <t>• Best Selling Series</t>
  </si>
  <si>
    <t>• INDEX</t>
  </si>
  <si>
    <t>• Highest Inventory Series</t>
  </si>
  <si>
    <t>• MATCH</t>
  </si>
  <si>
    <t>• Data Labels</t>
  </si>
  <si>
    <t>• Dashboard Design</t>
  </si>
  <si>
    <t>• Business Analysis</t>
  </si>
  <si>
    <t>Skills Demonstrated</t>
  </si>
  <si>
    <t>Business Value</t>
  </si>
  <si>
    <t>• Data Cleaning</t>
  </si>
  <si>
    <t>• Enables quick sales monitoring.</t>
  </si>
  <si>
    <t>• Data Aggregation</t>
  </si>
  <si>
    <t>• Improves inventory visibility.</t>
  </si>
  <si>
    <t>• Identifies best-performing product series.</t>
  </si>
  <si>
    <t>• Data Visualization</t>
  </si>
  <si>
    <t>• Compares marketplace contribution.</t>
  </si>
  <si>
    <t>• Business Analytics</t>
  </si>
  <si>
    <t>• Supports data-driven business decisions.</t>
  </si>
  <si>
    <t>• Excel Reporting</t>
  </si>
  <si>
    <t>• Inventory Analysis</t>
  </si>
  <si>
    <t>• Sales Performance Analysis</t>
  </si>
  <si>
    <t>Future Enhancements</t>
  </si>
  <si>
    <t>• Interactive Streamlit Dashboard</t>
  </si>
  <si>
    <t>• Automated Report Generation</t>
  </si>
  <si>
    <t>• SQL Database Integration</t>
  </si>
  <si>
    <t>Project Summary</t>
  </si>
  <si>
    <t>Multi-Channel Inventory &amp; Sales Analytics Dashboard</t>
  </si>
  <si>
    <t>Interactive analysis of inventory and sales across Flipkart, Amazon &amp; Myntra</t>
  </si>
  <si>
    <t>Total Sales</t>
  </si>
  <si>
    <t>Total Inventory</t>
  </si>
  <si>
    <t>Acer Stock</t>
  </si>
  <si>
    <t>Active Marketplaces</t>
  </si>
  <si>
    <t>3 Active</t>
  </si>
  <si>
    <t>Best Selling Series</t>
  </si>
  <si>
    <t>Sales by Series</t>
  </si>
  <si>
    <t>Marketplace Sales</t>
  </si>
  <si>
    <t>Inventory by Series</t>
  </si>
  <si>
    <t>Marketplace Stock</t>
  </si>
  <si>
    <t>Business Insights</t>
  </si>
  <si>
    <t>Series</t>
  </si>
  <si>
    <t>Product Name</t>
  </si>
  <si>
    <t>Part Number</t>
  </si>
  <si>
    <t>FSN</t>
  </si>
  <si>
    <t>ASIN</t>
  </si>
  <si>
    <t>Myntra SKU Code</t>
  </si>
  <si>
    <t>MRP</t>
  </si>
  <si>
    <t>Size</t>
  </si>
  <si>
    <t>Colour</t>
  </si>
  <si>
    <t>Material</t>
  </si>
  <si>
    <t>Opening Type</t>
  </si>
  <si>
    <t>Expandable</t>
  </si>
  <si>
    <t>Notes</t>
  </si>
  <si>
    <t>Cabin</t>
  </si>
  <si>
    <t>Black</t>
  </si>
  <si>
    <t>Polycarbonate</t>
  </si>
  <si>
    <t>Mid-Open</t>
  </si>
  <si>
    <t>No</t>
  </si>
  <si>
    <t>White</t>
  </si>
  <si>
    <t>Check-in</t>
  </si>
  <si>
    <t>Carry-on</t>
  </si>
  <si>
    <t>rPET</t>
  </si>
  <si>
    <t>Yes</t>
  </si>
  <si>
    <t>Set</t>
  </si>
  <si>
    <t>Moreton Sand</t>
  </si>
  <si>
    <t>Top-Open</t>
  </si>
  <si>
    <t>Gold Coast</t>
  </si>
  <si>
    <t>Jacaranda Pink</t>
  </si>
  <si>
    <t>Dual Opening</t>
  </si>
  <si>
    <t>Overnighter</t>
  </si>
  <si>
    <t>Aqua Blue</t>
  </si>
  <si>
    <t>Pink</t>
  </si>
  <si>
    <t>PET</t>
  </si>
  <si>
    <t>Green</t>
  </si>
  <si>
    <t>Mermaid Pink</t>
  </si>
  <si>
    <t>Gray</t>
  </si>
  <si>
    <t>Morning Sun</t>
  </si>
  <si>
    <t>Product</t>
  </si>
  <si>
    <t>Flipkart Stock</t>
  </si>
  <si>
    <t>Amazon Stock</t>
  </si>
  <si>
    <t>Myntra Stock</t>
  </si>
  <si>
    <t>Myntra Sales (Latest Report)</t>
  </si>
  <si>
    <t>Flipkart Sales
(Till Date)</t>
  </si>
  <si>
    <t>Amazon Sales
(Till Date)</t>
  </si>
  <si>
    <t>Myntra Sales
(Till Date)</t>
  </si>
  <si>
    <t>Total Sales Out</t>
  </si>
  <si>
    <t>Total</t>
  </si>
  <si>
    <t>Flipkart Sales</t>
  </si>
  <si>
    <t>Amazon Sales</t>
  </si>
  <si>
    <t>Myntra Sales</t>
  </si>
  <si>
    <t>Sales By Series</t>
  </si>
  <si>
    <t>Row Labels</t>
  </si>
  <si>
    <t>Sales</t>
  </si>
  <si>
    <t>Marketplace</t>
  </si>
  <si>
    <t>Flipkart</t>
  </si>
  <si>
    <t>Amazon</t>
  </si>
  <si>
    <t>Myntra</t>
  </si>
  <si>
    <t>Grand Total</t>
  </si>
  <si>
    <t>Inventory By Series</t>
  </si>
  <si>
    <t>Inventory</t>
  </si>
  <si>
    <t>Values</t>
  </si>
  <si>
    <t>• Executive Dashboard</t>
  </si>
  <si>
    <t>• Excel Tables</t>
  </si>
  <si>
    <t>• Structured References</t>
  </si>
  <si>
    <t>• Interactive Slicers &amp; Filters</t>
  </si>
  <si>
    <t>• Automated Excel Report Generation</t>
  </si>
  <si>
    <t>• Dashboard Development</t>
  </si>
  <si>
    <t>• Python Automation (Pandas &amp; openpyxl)</t>
  </si>
  <si>
    <t>TBC</t>
  </si>
  <si>
    <t>Top &amp; Mid-Open</t>
  </si>
  <si>
    <t>Azure Sky</t>
  </si>
  <si>
    <t>Flipkart Sales
Jun</t>
  </si>
  <si>
    <t>Flipkart Sales
Jul</t>
  </si>
  <si>
    <t>Amazon Sales
(Latest Report)</t>
  </si>
  <si>
    <r>
      <rPr>
        <b/>
        <sz val="11"/>
        <color theme="1"/>
        <rFont val="Aptos"/>
        <family val="2"/>
      </rPr>
      <t>• Marketplace Performance:</t>
    </r>
    <r>
      <rPr>
        <sz val="11"/>
        <color theme="1"/>
        <rFont val="Aptos"/>
        <family val="2"/>
      </rPr>
      <t xml:space="preserve"> Flipkart contributes 71% of total sales (104 units) and holds 71% of marketplace stock (987 units), making it the dominant marketplace.</t>
    </r>
  </si>
  <si>
    <t>• Power BI Dashboard Integration — Completed</t>
  </si>
  <si>
    <t>This project demonstrates practical Microsoft Excel and Power BI skills by transforming raw marketplace data into meaningful business insights. It showcases dashboard development, KPI reporting, Pivot Tables, Pivot Charts, structured references, data visualization, and business analysis techniques used in data analytics and business intelligence.</t>
  </si>
  <si>
    <t>Month</t>
  </si>
  <si>
    <t>Jun</t>
  </si>
  <si>
    <t>July</t>
  </si>
  <si>
    <t>Flipkart Sales Trend Jun - July</t>
  </si>
  <si>
    <t>Sales Trend</t>
  </si>
  <si>
    <t>Loction</t>
  </si>
  <si>
    <t>Inventory Value</t>
  </si>
  <si>
    <t>Acer</t>
  </si>
  <si>
    <t>Inventory Value
@ MRP</t>
  </si>
  <si>
    <t>Inventory Value By Location</t>
  </si>
  <si>
    <t>Inventory Value By Series</t>
  </si>
  <si>
    <t xml:space="preserve">Total Inventory Value </t>
  </si>
  <si>
    <t>Highest Value Series</t>
  </si>
  <si>
    <t>Highest Inventory</t>
  </si>
  <si>
    <t>Orion</t>
  </si>
  <si>
    <t>Acer Orion Suitcase 20 inch Cabin with 360 degree spin 8 Wheels TSA lock Mid-Open Polycarbonate Black</t>
  </si>
  <si>
    <t>Acer Orion Suitcase 20 inch Cabin with 360 degree spin 8 Wheels TSA lock Mid-Open Polycarbonate White</t>
  </si>
  <si>
    <t>Acer Orion Suitcase 24 inch Check-in with 360 degree spin 8 Wheels TSA lock Mid-Open Polycarbonate Black</t>
  </si>
  <si>
    <t>Acer Orion Suitcase 24 inch Check-in with 360 degree spin 8 Wheels TSA lock Mid-Open Polycarbonate White</t>
  </si>
  <si>
    <t>Aurelia</t>
  </si>
  <si>
    <t>Acer Aurelia Suitcase 19.5 inch Carry-on with 360 degree spin 8 Wheels TSA lock Mid-Open Expandable rPET Black</t>
  </si>
  <si>
    <t>Acer Aurelia Suitcase 19.5 inch Carry-on with 360 degree spin 8 Wheels TSA lock Mid-Open Expandable rPET White</t>
  </si>
  <si>
    <t>Acer Aurelia Suitcase 24 inch Check-in with 360 degree spin 8 Wheels TSA lock Mid-Open Expandable rPET Black</t>
  </si>
  <si>
    <t>Acer Aurelia Suitcase 24 inch Check-in with 360 degree spin 8 Wheels TSA lock Mid-Open Expandable rPET White</t>
  </si>
  <si>
    <t>Acer Aurelia Suitcase 19.5+24+28 inch Check-in with 360 degree spin 8 Wheels TSA lock Mid-Open Expandable rPET Black (Set of 3)</t>
  </si>
  <si>
    <t>Acer Aurelia Suitcase 19.5+24+28 inch Check-in with 360 degree spin 8 Wheels TSA lock Mid-Open Expandable rPET White (Set of 3)</t>
  </si>
  <si>
    <t>Cassian</t>
  </si>
  <si>
    <t>Acer Cassian Suitcase 20 inch Carry-on with 360 degree spin 8 Wheels TSA lock Top Open Expandable rPET Moreton Sand</t>
  </si>
  <si>
    <t>Acer Cassian Suitcase 20 inch Carry-on with 360 degree spin 8 Wheels TSA lock Top Open Expandable rPET Gold Coast</t>
  </si>
  <si>
    <t>Acer Cassian Suitcase 20 inch Carry-on with 360 degree spin 8 Wheels TSA lock Top Open Expandable rPET Jacaranda Pink</t>
  </si>
  <si>
    <t>Acer Cassian Suitcase 24 inch Check-in with 360 degree spin 8 Wheels Double TSA lock Top &amp; Mid-Open Expandable rPET Moreton Sand</t>
  </si>
  <si>
    <t>Acer Cassian Suitcase 24 inch Check-in with 360 degree spin 8 Wheels Double TSA lock Top &amp; Mid-Open Expandable rPET Gold Coast</t>
  </si>
  <si>
    <t>Acer Cassian Suitcase 24 inch Check-in with 360 degree spin 8 Wheels Double TSA lock Top &amp; Mid-Open Expandable rPET Jacaranda Pink</t>
  </si>
  <si>
    <t>Acer Cassian Suitcase 28 inch Check-in with 360 degree spin 8 Wheels Double TSA lock Top &amp; Mid-Open Expandable rPET Moreton Sand</t>
  </si>
  <si>
    <t>Acer Cassian Suitcase 28 inch Check-in with 360 degree spin 8 Wheels Double TSA lock Top &amp; Mid-Open Expandable rPET Jacaranda Pink</t>
  </si>
  <si>
    <t>Acer Cassian Suitcase 28 inch Check-in with 360 degree spin 8 Wheels Double TSA lock Top &amp; Mid-Open Expandable rPET Gold Coast</t>
  </si>
  <si>
    <t>Evander</t>
  </si>
  <si>
    <t>Acer Evander Suitcase 20 inch Cabin with 360 degree spin 8 Wheels TSA lock Top Open Expandable rPET Mermaid Pink</t>
  </si>
  <si>
    <t>Acer Evander Suitcase 20 inch Cabin with 360 degree spin 8 Wheels TSA lock Top Open Expandable rPET Green</t>
  </si>
  <si>
    <t>Acer Evander Suitcase 20 inch Cabin with 360 degree spin 8 Wheels TSA lock Top Open Expandable rPET Gray</t>
  </si>
  <si>
    <t>Acer Evander Suitcase 25 inch Check-in with 360 degree spin 8 Wheels Two TSA lock Top &amp; Mid Open Expandable rPET Pink</t>
  </si>
  <si>
    <t>Acer Evander Suitcase 25 inch Check-in with 360 degree spin 8 Wheels Two TSA lock Top &amp; Mid Open Expandable rPET Green</t>
  </si>
  <si>
    <t>Acer Evander Suitcase 25 inch Check-in with 360 degree spin 8 Wheels Two TSA lock Top &amp; Mid Open Expandable rPET Gray</t>
  </si>
  <si>
    <t>Acer Evander Suitcase 28 inch Check-in with 360 degree spin 8 Wheels Two TSA lock Top &amp; Mid Open Expandable rPET Morning Sun</t>
  </si>
  <si>
    <t>Acer Evander Suitcase 28 inch Check-in with 360 degree spin 8 Wheels Two TSA lock Top &amp; Mid Open Expandable rPET Pink</t>
  </si>
  <si>
    <t>Selene</t>
  </si>
  <si>
    <t>Acer Selene Suitcase 20 inch Cabin with 360 degree spin 8 Wheels TSA lock Top Open Polycarbonate matte Gray</t>
  </si>
  <si>
    <t>Acer Selene Suitcase 25 inch Check-in with 360 degree spin 8 Wheels TSA lock Top Open Polycarbonate matte Gray</t>
  </si>
  <si>
    <t>Acer Selene Suitcase 22 inch Check-in with 360 degree spin 8 Wheels Two TSA lock Mid Open Polycarbonate matte Gray</t>
  </si>
  <si>
    <t>Selene 20" Cabin - Gray</t>
  </si>
  <si>
    <t>Selene 25" Check-in - Gray</t>
  </si>
  <si>
    <t>Selene 22" Check-in - Gray</t>
  </si>
  <si>
    <t>Evander 20" Cabin - Mermaid Pink</t>
  </si>
  <si>
    <t>Evander 20" Cabin - Green</t>
  </si>
  <si>
    <t>Evander 20" Cabin - Gray</t>
  </si>
  <si>
    <t>Evander 25" Check-in - Pink</t>
  </si>
  <si>
    <t>Evander 25" Check-in - Green</t>
  </si>
  <si>
    <t>Evander 25" Check-in - Gray</t>
  </si>
  <si>
    <t>Evander 28" Check-in - Morning Sun</t>
  </si>
  <si>
    <t>Evander 28" Check-in - Pink</t>
  </si>
  <si>
    <t>Cassian 20" Carry-on - Moreton Sand</t>
  </si>
  <si>
    <t>Cassian 20" Carry-on - Gold Coast</t>
  </si>
  <si>
    <t>Cassian 20" Carry-on - Jacaranda Pink</t>
  </si>
  <si>
    <t>Cassian 24" Check-in - Moreton Sand</t>
  </si>
  <si>
    <t>Cassian 24" Check-in - Gold Coast</t>
  </si>
  <si>
    <t>Cassian 24" Check-in - Jacaranda Pink</t>
  </si>
  <si>
    <t>Cassian 28" Check-in - Moreton Sand</t>
  </si>
  <si>
    <t>Cassian 28" Check-in - Jacaranda Pink</t>
  </si>
  <si>
    <t>Cassian 28" Check-in - Gold Coast</t>
  </si>
  <si>
    <t>Aurelia 19.5" Carry-on - Black</t>
  </si>
  <si>
    <t>Aurelia 19.5" Carry-on - White</t>
  </si>
  <si>
    <t>Aurelia 24" Check-in - Black</t>
  </si>
  <si>
    <t>Aurelia 24" Check-in - White</t>
  </si>
  <si>
    <t>Aurelia 19.5+24+28" Set - Black</t>
  </si>
  <si>
    <t>Aurelia 19.5+24+28" Set - White</t>
  </si>
  <si>
    <t>Orion 20" Cabin - Black</t>
  </si>
  <si>
    <t>Orion 20" Cabin - White</t>
  </si>
  <si>
    <t>Orion 24" Check-in - Black</t>
  </si>
  <si>
    <t>Orion 24" Check-in - White</t>
  </si>
  <si>
    <t>Romulus</t>
  </si>
  <si>
    <t>Acer Romulus Overnighter Suitcase 19 inch Cabin with 360 degree spin 8 Wheels Double TSA lock Top-Open with Quick access compartment rPET Black</t>
  </si>
  <si>
    <t>Acer Romulus Overnighter Suitcase 19 inch Cabin with 360 degree spin 8 Wheels Double TSA lock Top-Open with Quick access compartment rPET Aqua Blue</t>
  </si>
  <si>
    <t>Acer Romulus Overnighter Suitcase 19 inch Cabin with 360 degree spin 8 Wheels Double TSA lock Top-Open with Quick access compartment rPET Pink</t>
  </si>
  <si>
    <t>Acer Romulus Suitcase 20 inch Cabin with 360 degree spin 8 Wheels TSA lock Top-Open Expandable with Quick access compartment PET White</t>
  </si>
  <si>
    <t>Acer Romulus Suitcase 20 inch Cabin with 360 degree spin 8 Wheels TSA lock Top-Open Expandable with Quick access compartment PET Aqua Blue</t>
  </si>
  <si>
    <t>Acer Romulus Suitcase 20 inch Cabin with 360 degree spin 8 Wheels TSA lock Top-Open Expandable with Quick access compartment rPET Green</t>
  </si>
  <si>
    <t>Acer Romulus Suitcase 20 inch Cabin with 360 degree spin 8 Wheels TSA lock Top-Open Expandable with Quick access compartment rPET Pink</t>
  </si>
  <si>
    <t>Acer Romulus Suitcase 25 inch Check-in with 360 degree spin 8 Wheels TSA lock Top-Open Expandable rPET Black</t>
  </si>
  <si>
    <t>Acer Romulus Suitcase 25 inch Check-in with 360 degree spin 8 Wheels TSA lock Top-Open Expandable rPET Green</t>
  </si>
  <si>
    <t>Acer Romulus Suitcase 25 inch Check-in with 360 degree spin 8 Wheels TSA lock Top-Open Expandable rPET Pink</t>
  </si>
  <si>
    <t>Acer Romulus Suitcase 28 inch Check-in with 360 degree spin 8 Wheels TSA lock Top-Open Expandable rPET Black</t>
  </si>
  <si>
    <t>Acer Romulus Suitcase 28 inch Check-in with 360 degree spin 8 Wheels TSA lock Top-Open Expandable rPET Green</t>
  </si>
  <si>
    <t>Acer Romulus Suitcase 28 inch Check-in with 360 degree spin 8 Wheels TSA lock Top-Open Expandable rPET Pink</t>
  </si>
  <si>
    <t>Acer Romulus Overnighter Suitcase 19 inch Cabin with 360 degree spin 8 Wheels Double TSA lock Top-Open with Quick access compartment rPET White</t>
  </si>
  <si>
    <t>Acer Romulus Suitcase 20 inch Cabin with 360 degree spin 8 Wheels TSA lock Top-Open Expandable with Quick access compartment rPET Azure Sky</t>
  </si>
  <si>
    <t>Romulus 19" Overnighter - Black</t>
  </si>
  <si>
    <t>Romulus 19" Overnighter - Aqua Blue</t>
  </si>
  <si>
    <t>Romulus 19" Overnighter - Pink</t>
  </si>
  <si>
    <t>Romulus 20" Cabin - White</t>
  </si>
  <si>
    <t>Romulus 20" Cabin - Aqua Blue</t>
  </si>
  <si>
    <t>Romulus 20" Cabin - Green</t>
  </si>
  <si>
    <t>Romulus 20" Cabin - Pink</t>
  </si>
  <si>
    <t>Romulus 25" Check-in - Black</t>
  </si>
  <si>
    <t>Romulus 25" Check-in - Green</t>
  </si>
  <si>
    <t>Romulus 25" Check-in - Pink</t>
  </si>
  <si>
    <t>Romulus 28" Check-in - Black</t>
  </si>
  <si>
    <t>Romulus 28" Check-in - Green</t>
  </si>
  <si>
    <t>Romulus 28" Check-in - Pink</t>
  </si>
  <si>
    <t>Romulus 19" Overnighter - White</t>
  </si>
  <si>
    <t>Romulus 20" Cabin - Azure Sky</t>
  </si>
  <si>
    <t>PN - 001</t>
  </si>
  <si>
    <t>PN - 002</t>
  </si>
  <si>
    <t>PN - 003</t>
  </si>
  <si>
    <t>PN - 004</t>
  </si>
  <si>
    <t>PN - 005</t>
  </si>
  <si>
    <t>PN - 006</t>
  </si>
  <si>
    <t>PN - 007</t>
  </si>
  <si>
    <t>PN - 008</t>
  </si>
  <si>
    <t>PN - 009</t>
  </si>
  <si>
    <t>PN - 010</t>
  </si>
  <si>
    <t>PN - 011</t>
  </si>
  <si>
    <t>PN - 012</t>
  </si>
  <si>
    <t>PN - 013</t>
  </si>
  <si>
    <t>PN - 014</t>
  </si>
  <si>
    <t>PN - 015</t>
  </si>
  <si>
    <t>PN - 016</t>
  </si>
  <si>
    <t>PN - 017</t>
  </si>
  <si>
    <t>PN - 018</t>
  </si>
  <si>
    <t>PN - 019</t>
  </si>
  <si>
    <t>PN - 020</t>
  </si>
  <si>
    <t>PN - 021</t>
  </si>
  <si>
    <t>PN - 022</t>
  </si>
  <si>
    <t>PN - 023</t>
  </si>
  <si>
    <t>PN - 024</t>
  </si>
  <si>
    <t>PN - 025</t>
  </si>
  <si>
    <t>PN - 026</t>
  </si>
  <si>
    <t>PN - 027</t>
  </si>
  <si>
    <t>PN - 028</t>
  </si>
  <si>
    <t>PN - 029</t>
  </si>
  <si>
    <t>PN - 030</t>
  </si>
  <si>
    <t>PN - 031</t>
  </si>
  <si>
    <t>PN - 032</t>
  </si>
  <si>
    <t>PN - 033</t>
  </si>
  <si>
    <t>PN - 034</t>
  </si>
  <si>
    <t>PN - 035</t>
  </si>
  <si>
    <t>PN - 036</t>
  </si>
  <si>
    <t>PN - 037</t>
  </si>
  <si>
    <t>PN - 038</t>
  </si>
  <si>
    <t>PN - 039</t>
  </si>
  <si>
    <t>PN - 040</t>
  </si>
  <si>
    <t>PN - 041</t>
  </si>
  <si>
    <t>PN - 042</t>
  </si>
  <si>
    <t>PN - 043</t>
  </si>
  <si>
    <t>PN - 044</t>
  </si>
  <si>
    <t>PN - 045</t>
  </si>
  <si>
    <t>FSIN - 001</t>
  </si>
  <si>
    <t>FSIN - 002</t>
  </si>
  <si>
    <t>FSIN - 003</t>
  </si>
  <si>
    <t>FSIN - 004</t>
  </si>
  <si>
    <t>FSIN - 005</t>
  </si>
  <si>
    <t>FSIN - 006</t>
  </si>
  <si>
    <t>FSIN - 007</t>
  </si>
  <si>
    <t>FSIN - 008</t>
  </si>
  <si>
    <t>FSIN - 009</t>
  </si>
  <si>
    <t>FSIN - 010</t>
  </si>
  <si>
    <t>FSIN - 011</t>
  </si>
  <si>
    <t>FSIN - 012</t>
  </si>
  <si>
    <t>FSIN - 013</t>
  </si>
  <si>
    <t>FSIN - 014</t>
  </si>
  <si>
    <t>FSIN - 015</t>
  </si>
  <si>
    <t>FSIN - 016</t>
  </si>
  <si>
    <t>FSIN - 017</t>
  </si>
  <si>
    <t>FSIN - 018</t>
  </si>
  <si>
    <t>FSIN - 019</t>
  </si>
  <si>
    <t>FSIN - 020</t>
  </si>
  <si>
    <t>FSIN - 021</t>
  </si>
  <si>
    <t>FSIN - 022</t>
  </si>
  <si>
    <t>FSIN - 023</t>
  </si>
  <si>
    <t>FSIN - 024</t>
  </si>
  <si>
    <t>FSIN - 025</t>
  </si>
  <si>
    <t>FSIN - 026</t>
  </si>
  <si>
    <t>FSIN - 027</t>
  </si>
  <si>
    <t>FSIN - 028</t>
  </si>
  <si>
    <t>FSIN - 029</t>
  </si>
  <si>
    <t>FSIN - 030</t>
  </si>
  <si>
    <t>FSIN - 031</t>
  </si>
  <si>
    <t>FSIN - 032</t>
  </si>
  <si>
    <t>FSIN - 033</t>
  </si>
  <si>
    <t>FSIN - 034</t>
  </si>
  <si>
    <t>FSIN - 035</t>
  </si>
  <si>
    <t>FSIN - 036</t>
  </si>
  <si>
    <t>FSIN - 037</t>
  </si>
  <si>
    <t>FSIN - 038</t>
  </si>
  <si>
    <t>FSIN - 039</t>
  </si>
  <si>
    <t>FSIN - 040</t>
  </si>
  <si>
    <t>FSIN - 041</t>
  </si>
  <si>
    <t>FSIN - 042</t>
  </si>
  <si>
    <t>ASIN - 001</t>
  </si>
  <si>
    <t>ASIN - 002</t>
  </si>
  <si>
    <t>ASIN - 012</t>
  </si>
  <si>
    <t>ASIN - 003</t>
  </si>
  <si>
    <t>ASIN - 004</t>
  </si>
  <si>
    <t>ASIN - 005</t>
  </si>
  <si>
    <t>ASIN - 006</t>
  </si>
  <si>
    <t>ASIN - 007</t>
  </si>
  <si>
    <t>ASIN - 008</t>
  </si>
  <si>
    <t>ASIN - 009</t>
  </si>
  <si>
    <t>ASIN - 010</t>
  </si>
  <si>
    <t>ASIN - 011</t>
  </si>
  <si>
    <t>ASIN - 013</t>
  </si>
  <si>
    <t>ASIN - 014</t>
  </si>
  <si>
    <t>ASIN - 015</t>
  </si>
  <si>
    <t>ASIN - 016</t>
  </si>
  <si>
    <t>ASIN - 017</t>
  </si>
  <si>
    <t>ASIN - 018</t>
  </si>
  <si>
    <t>ASIN - 019</t>
  </si>
  <si>
    <t>ASIN - 020</t>
  </si>
  <si>
    <t>ASIN - 021</t>
  </si>
  <si>
    <t>ASIN - 022</t>
  </si>
  <si>
    <t>ASIN - 023</t>
  </si>
  <si>
    <t>ASIN - 024</t>
  </si>
  <si>
    <t>ASIN - 025</t>
  </si>
  <si>
    <t>SKU - 001</t>
  </si>
  <si>
    <t>SKU - 002</t>
  </si>
  <si>
    <t>SKU - 003</t>
  </si>
  <si>
    <t>SKU - 004</t>
  </si>
  <si>
    <t>SKU - 005</t>
  </si>
  <si>
    <t>SKU - 006</t>
  </si>
  <si>
    <t>SKU - 007</t>
  </si>
  <si>
    <r>
      <rPr>
        <b/>
        <sz val="11"/>
        <color theme="1"/>
        <rFont val="Aptos"/>
        <family val="2"/>
      </rPr>
      <t>• Sales Performance:</t>
    </r>
    <r>
      <rPr>
        <sz val="11"/>
        <color theme="1"/>
        <rFont val="Aptos"/>
        <family val="2"/>
      </rPr>
      <t xml:space="preserve"> Cassian is the best-selling series with 53 units sold, followed by Romulus with 41 units. Together, they account for 64% of total sales.</t>
    </r>
  </si>
  <si>
    <r>
      <rPr>
        <b/>
        <sz val="11"/>
        <rFont val="Aptos"/>
        <family val="2"/>
      </rPr>
      <t>• Inventory Status:</t>
    </r>
    <r>
      <rPr>
        <sz val="11"/>
        <rFont val="Aptos"/>
        <family val="2"/>
      </rPr>
      <t xml:space="preserve"> Romulus has the highest inventory at 1,700 units, followed by Cassian at 1,380 units. Orion has the lowest inventory at 52 units.</t>
    </r>
  </si>
  <si>
    <r>
      <rPr>
        <b/>
        <sz val="11"/>
        <rFont val="Aptos"/>
        <family val="2"/>
      </rPr>
      <t>• Stock Risk:</t>
    </r>
    <r>
      <rPr>
        <sz val="11"/>
        <rFont val="Aptos"/>
        <family val="2"/>
      </rPr>
      <t xml:space="preserve"> Orion has the lowest inventory at 52 units while recording the highest sell-through among the series at approximately 42%. Myntra holds only 18 units (1.3% of marketplace stock) despite contributing 8% of total sales. units (1.5% of marketplace stock) despite contributing 10% of total sales.</t>
    </r>
  </si>
  <si>
    <r>
      <rPr>
        <b/>
        <sz val="11"/>
        <color theme="1"/>
        <rFont val="Aptos"/>
        <family val="2"/>
      </rPr>
      <t>• Recommendation:</t>
    </r>
    <r>
      <rPr>
        <sz val="11"/>
        <color theme="1"/>
        <rFont val="Aptos"/>
        <family val="2"/>
      </rPr>
      <t xml:space="preserve"> Prioritize replenishing Orion inventory due to its high sell-through rate. Review slower-moving inventory such as Evander and Aurelia, which have substantially higher stock relative to sales, to optimize inventory allocation.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</si>
</sst>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quot;₹&quot;\ #,##0"/>
  </numFmts>
  <fonts count="22" x14ac:knownFonts="1">
    <font>
      <sz val="11"/>
      <color theme="1"/>
      <name val="Calibri"/>
      <family val="2"/>
      <charset val="1"/>
    </font>
    <font>
      <b/>
      <sz val="11"/>
      <color theme="1"/>
      <name val="Calibri"/>
      <family val="2"/>
      <charset val="1"/>
    </font>
    <font>
      <sz val="11"/>
      <color theme="1"/>
      <name val="Calibri"/>
      <family val="2"/>
      <charset val="1"/>
    </font>
    <font>
      <b/>
      <sz val="14"/>
      <color theme="1"/>
      <name val="Aptos"/>
      <family val="2"/>
    </font>
    <font>
      <sz val="11"/>
      <color theme="1"/>
      <name val="Aptos"/>
      <family val="2"/>
    </font>
    <font>
      <sz val="11"/>
      <name val="Aptos"/>
      <family val="2"/>
    </font>
    <font>
      <b/>
      <sz val="14"/>
      <name val="Aptos"/>
      <family val="2"/>
    </font>
    <font>
      <b/>
      <sz val="12"/>
      <name val="Aptos"/>
      <family val="2"/>
    </font>
    <font>
      <b/>
      <sz val="14"/>
      <color theme="8"/>
      <name val="Aptos"/>
      <family val="2"/>
    </font>
    <font>
      <b/>
      <sz val="11"/>
      <color theme="1"/>
      <name val="Aptos"/>
      <family val="2"/>
    </font>
    <font>
      <b/>
      <sz val="14"/>
      <color rgb="FFFFFFFF"/>
      <name val="Aptos"/>
      <family val="2"/>
    </font>
    <font>
      <sz val="14"/>
      <color theme="1"/>
      <name val="Aptos"/>
      <family val="2"/>
    </font>
    <font>
      <sz val="14"/>
      <name val="Aptos"/>
      <family val="2"/>
    </font>
    <font>
      <b/>
      <sz val="14"/>
      <color rgb="FF1F3864"/>
      <name val="Aptos"/>
      <family val="2"/>
    </font>
    <font>
      <b/>
      <sz val="22"/>
      <color rgb="FFFFFFFF"/>
      <name val="Aptos"/>
      <family val="2"/>
    </font>
    <font>
      <i/>
      <sz val="11"/>
      <color rgb="FF595959"/>
      <name val="Aptos"/>
      <family val="2"/>
    </font>
    <font>
      <b/>
      <sz val="11"/>
      <color rgb="FF595959"/>
      <name val="Aptos"/>
      <family val="2"/>
    </font>
    <font>
      <b/>
      <sz val="18"/>
      <color rgb="FFFFFFFF"/>
      <name val="Aptos"/>
      <family val="2"/>
    </font>
    <font>
      <sz val="11"/>
      <color theme="1"/>
      <name val="Aptos"/>
    </font>
    <font>
      <b/>
      <sz val="11"/>
      <color theme="1"/>
      <name val="Aptos"/>
    </font>
    <font>
      <sz val="8"/>
      <name val="Calibri"/>
      <family val="2"/>
      <charset val="1"/>
    </font>
    <font>
      <b/>
      <sz val="11"/>
      <name val="Aptos"/>
      <family val="2"/>
    </font>
  </fonts>
  <fills count="8">
    <fill>
      <patternFill patternType="none"/>
    </fill>
    <fill>
      <patternFill patternType="gray125"/>
    </fill>
    <fill>
      <patternFill patternType="solid">
        <fgColor rgb="FF1F3864"/>
        <bgColor rgb="FF333333"/>
      </patternFill>
    </fill>
    <fill>
      <patternFill patternType="solid">
        <fgColor rgb="FFDDEBF7"/>
        <bgColor rgb="FFDEEBF7"/>
      </patternFill>
    </fill>
    <fill>
      <patternFill patternType="solid">
        <fgColor theme="4" tint="0.59978026673177287"/>
        <bgColor rgb="FF99CCFF"/>
      </patternFill>
    </fill>
    <fill>
      <patternFill patternType="solid">
        <fgColor theme="4" tint="0.79989013336588644"/>
        <bgColor rgb="FFDDEBF7"/>
      </patternFill>
    </fill>
    <fill>
      <patternFill patternType="solid">
        <fgColor theme="4" tint="0.79998168889431442"/>
        <bgColor theme="4" tint="0.79998168889431442"/>
      </patternFill>
    </fill>
    <fill>
      <patternFill patternType="solid">
        <fgColor rgb="FF1F3864"/>
      </patternFill>
    </fill>
  </fills>
  <borders count="17">
    <border>
      <left/>
      <right/>
      <top/>
      <bottom/>
      <diagonal/>
    </border>
    <border>
      <left style="thin">
        <color rgb="FFBFBFBF"/>
      </left>
      <right style="thin">
        <color rgb="FFBFBFBF"/>
      </right>
      <top style="thin">
        <color rgb="FFBFBFBF"/>
      </top>
      <bottom style="thin">
        <color rgb="FFBFBFBF"/>
      </bottom>
      <diagonal/>
    </border>
    <border>
      <left style="hair">
        <color auto="1"/>
      </left>
      <right style="hair">
        <color auto="1"/>
      </right>
      <top style="hair">
        <color auto="1"/>
      </top>
      <bottom style="hair">
        <color auto="1"/>
      </bottom>
      <diagonal/>
    </border>
    <border>
      <left style="thin">
        <color rgb="FFBFBFBF"/>
      </left>
      <right style="thin">
        <color rgb="FFBFBFBF"/>
      </right>
      <top/>
      <bottom style="thin">
        <color rgb="FFBFBFBF"/>
      </bottom>
      <diagonal/>
    </border>
    <border>
      <left/>
      <right/>
      <top style="thin">
        <color theme="4" tint="0.39997558519241921"/>
      </top>
      <bottom/>
      <diagonal/>
    </border>
    <border>
      <left/>
      <right/>
      <top/>
      <bottom style="thin">
        <color theme="4" tint="0.39997558519241921"/>
      </bottom>
      <diagonal/>
    </border>
    <border>
      <left style="thin">
        <color theme="3"/>
      </left>
      <right style="thin">
        <color theme="3"/>
      </right>
      <top style="thin">
        <color theme="3"/>
      </top>
      <bottom style="thin">
        <color theme="3"/>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style="medium">
        <color theme="3"/>
      </left>
      <right style="thick">
        <color rgb="FF1F3864"/>
      </right>
      <top style="medium">
        <color theme="3"/>
      </top>
      <bottom/>
      <diagonal/>
    </border>
    <border>
      <left style="medium">
        <color theme="3"/>
      </left>
      <right style="thick">
        <color rgb="FF1F3864"/>
      </right>
      <top/>
      <bottom style="thick">
        <color rgb="FF1F3864"/>
      </bottom>
      <diagonal/>
    </border>
  </borders>
  <cellStyleXfs count="7">
    <xf numFmtId="0" fontId="0" fillId="0" borderId="0"/>
    <xf numFmtId="0" fontId="2" fillId="0" borderId="0"/>
    <xf numFmtId="0" fontId="2" fillId="0" borderId="0"/>
    <xf numFmtId="0" fontId="2" fillId="0" borderId="0"/>
    <xf numFmtId="0" fontId="2" fillId="0" borderId="0">
      <alignment horizontal="left"/>
    </xf>
    <xf numFmtId="0" fontId="1" fillId="0" borderId="0">
      <alignment horizontal="left"/>
    </xf>
    <xf numFmtId="0" fontId="1" fillId="0" borderId="0"/>
  </cellStyleXfs>
  <cellXfs count="89">
    <xf numFmtId="0" fontId="0" fillId="0" borderId="0" xfId="0"/>
    <xf numFmtId="0" fontId="3" fillId="4" borderId="2" xfId="0" applyFont="1" applyFill="1" applyBorder="1" applyAlignment="1">
      <alignment horizontal="center" vertical="center"/>
    </xf>
    <xf numFmtId="0" fontId="3" fillId="4" borderId="2" xfId="0" applyFont="1" applyFill="1" applyBorder="1" applyAlignment="1">
      <alignment horizontal="center" vertical="center" wrapText="1"/>
    </xf>
    <xf numFmtId="0" fontId="4" fillId="0" borderId="0" xfId="0" applyFont="1"/>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164" fontId="5" fillId="0" borderId="3" xfId="0" applyNumberFormat="1" applyFont="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164" fontId="5" fillId="0" borderId="1" xfId="0" applyNumberFormat="1" applyFont="1" applyBorder="1" applyAlignment="1">
      <alignment horizontal="center" vertical="center"/>
    </xf>
    <xf numFmtId="0" fontId="6" fillId="4" borderId="2" xfId="0" applyFont="1" applyFill="1" applyBorder="1" applyAlignment="1">
      <alignment horizontal="center" vertical="center" wrapText="1"/>
    </xf>
    <xf numFmtId="0" fontId="6" fillId="4" borderId="2" xfId="0" applyFont="1" applyFill="1" applyBorder="1" applyAlignment="1">
      <alignment horizontal="center" vertical="center"/>
    </xf>
    <xf numFmtId="0" fontId="5" fillId="0" borderId="0" xfId="0" applyFont="1" applyAlignment="1">
      <alignment horizontal="center" vertical="center"/>
    </xf>
    <xf numFmtId="0" fontId="7" fillId="0" borderId="0" xfId="0" applyFont="1" applyAlignment="1">
      <alignment horizontal="center" vertical="center"/>
    </xf>
    <xf numFmtId="0" fontId="9" fillId="6" borderId="4" xfId="0" applyFont="1" applyFill="1" applyBorder="1" applyAlignment="1">
      <alignment horizontal="left"/>
    </xf>
    <xf numFmtId="0" fontId="9" fillId="6" borderId="4" xfId="0" applyFont="1" applyFill="1" applyBorder="1"/>
    <xf numFmtId="0" fontId="5" fillId="0" borderId="0" xfId="0" applyFont="1"/>
    <xf numFmtId="0" fontId="12" fillId="0" borderId="0" xfId="0" applyFont="1"/>
    <xf numFmtId="0" fontId="11" fillId="0" borderId="0" xfId="0" applyFont="1"/>
    <xf numFmtId="0" fontId="13" fillId="0" borderId="0" xfId="0" applyFont="1" applyAlignment="1">
      <alignment horizontal="left" vertical="center"/>
    </xf>
    <xf numFmtId="0" fontId="5" fillId="0" borderId="0" xfId="0" applyFont="1" applyAlignment="1">
      <alignment horizontal="left" vertical="center"/>
    </xf>
    <xf numFmtId="0" fontId="18" fillId="0" borderId="0" xfId="0" applyFont="1" applyAlignment="1">
      <alignment horizontal="center" vertical="center"/>
    </xf>
    <xf numFmtId="0" fontId="18" fillId="0" borderId="0" xfId="0" applyFont="1" applyAlignment="1">
      <alignment horizontal="left" vertical="center"/>
    </xf>
    <xf numFmtId="0" fontId="18" fillId="0" borderId="0" xfId="0" applyFont="1"/>
    <xf numFmtId="0" fontId="18" fillId="0" borderId="0" xfId="0" applyFont="1" applyAlignment="1">
      <alignment horizontal="left"/>
    </xf>
    <xf numFmtId="0" fontId="11" fillId="0" borderId="0" xfId="0" applyFont="1" applyAlignment="1">
      <alignment horizontal="center" vertical="center"/>
    </xf>
    <xf numFmtId="0" fontId="18" fillId="0" borderId="0" xfId="0" applyFont="1" applyAlignment="1">
      <alignment horizontal="right" vertical="center"/>
    </xf>
    <xf numFmtId="0" fontId="9" fillId="6" borderId="5" xfId="0" applyFont="1" applyFill="1" applyBorder="1"/>
    <xf numFmtId="0" fontId="4" fillId="0" borderId="0" xfId="0" applyFont="1" applyAlignment="1">
      <alignment vertical="center"/>
    </xf>
    <xf numFmtId="0" fontId="4" fillId="0" borderId="0" xfId="0" applyFont="1" applyAlignment="1">
      <alignment horizontal="left" vertical="center"/>
    </xf>
    <xf numFmtId="0" fontId="0" fillId="0" borderId="0" xfId="0" pivotButton="1"/>
    <xf numFmtId="0" fontId="4" fillId="0" borderId="0" xfId="0" pivotButton="1" applyFont="1"/>
    <xf numFmtId="0" fontId="19" fillId="6" borderId="5" xfId="0" applyFont="1" applyFill="1" applyBorder="1"/>
    <xf numFmtId="165" fontId="18" fillId="0" borderId="0" xfId="0" applyNumberFormat="1" applyFont="1"/>
    <xf numFmtId="165" fontId="9" fillId="6" borderId="4" xfId="0" applyNumberFormat="1" applyFont="1" applyFill="1" applyBorder="1"/>
    <xf numFmtId="0" fontId="19" fillId="6" borderId="5" xfId="0" applyFont="1" applyFill="1" applyBorder="1" applyAlignment="1">
      <alignment horizontal="right"/>
    </xf>
    <xf numFmtId="0" fontId="9" fillId="6" borderId="5" xfId="0" applyFont="1" applyFill="1" applyBorder="1" applyAlignment="1">
      <alignment horizontal="left"/>
    </xf>
    <xf numFmtId="165" fontId="0" fillId="0" borderId="0" xfId="0" applyNumberFormat="1"/>
    <xf numFmtId="165" fontId="0" fillId="0" borderId="0" xfId="0" applyNumberFormat="1" applyAlignment="1">
      <alignment horizontal="left"/>
    </xf>
    <xf numFmtId="0" fontId="4" fillId="0" borderId="0" xfId="0" applyFont="1" applyAlignment="1">
      <alignment horizontal="left"/>
    </xf>
    <xf numFmtId="0" fontId="4" fillId="0" borderId="0" xfId="0" applyFont="1" applyAlignment="1">
      <alignment horizontal="right"/>
    </xf>
    <xf numFmtId="0" fontId="0" fillId="0" borderId="0" xfId="0" applyAlignment="1">
      <alignment horizontal="right"/>
    </xf>
    <xf numFmtId="0" fontId="16" fillId="0" borderId="0" xfId="0" applyFont="1" applyAlignment="1">
      <alignment vertical="center"/>
    </xf>
    <xf numFmtId="0" fontId="4" fillId="0" borderId="0" xfId="0" applyFont="1" applyAlignment="1">
      <alignment horizontal="right" vertical="center"/>
    </xf>
    <xf numFmtId="0" fontId="4" fillId="0" borderId="0" xfId="0" applyFont="1"/>
    <xf numFmtId="0" fontId="5" fillId="0" borderId="0" xfId="0" applyFont="1"/>
    <xf numFmtId="0" fontId="5" fillId="0" borderId="0" xfId="0" applyFont="1" applyAlignment="1">
      <alignment wrapText="1"/>
    </xf>
    <xf numFmtId="0" fontId="14" fillId="2" borderId="0" xfId="0" applyFont="1" applyFill="1" applyAlignment="1">
      <alignment horizontal="center" vertical="center"/>
    </xf>
    <xf numFmtId="0" fontId="13" fillId="3" borderId="0" xfId="0" applyFont="1" applyFill="1" applyAlignment="1">
      <alignment horizontal="left" vertical="center" indent="1"/>
    </xf>
    <xf numFmtId="1" fontId="13" fillId="3" borderId="16" xfId="0" applyNumberFormat="1" applyFont="1" applyFill="1" applyBorder="1" applyAlignment="1">
      <alignment horizontal="center" vertical="center"/>
    </xf>
    <xf numFmtId="0" fontId="11" fillId="0" borderId="0" xfId="0" applyFont="1"/>
    <xf numFmtId="0" fontId="11" fillId="0" borderId="11" xfId="0" applyFont="1" applyBorder="1"/>
    <xf numFmtId="0" fontId="11" fillId="0" borderId="12" xfId="0" applyFont="1" applyBorder="1"/>
    <xf numFmtId="0" fontId="11" fillId="0" borderId="13" xfId="0" applyFont="1" applyBorder="1"/>
    <xf numFmtId="0" fontId="11" fillId="0" borderId="14" xfId="0" applyFont="1" applyBorder="1"/>
    <xf numFmtId="0" fontId="16" fillId="0" borderId="6" xfId="0" applyFont="1" applyBorder="1" applyAlignment="1">
      <alignment horizontal="center" vertical="center"/>
    </xf>
    <xf numFmtId="0" fontId="10" fillId="2" borderId="15" xfId="0" applyFont="1" applyFill="1" applyBorder="1" applyAlignment="1">
      <alignment horizontal="center" vertical="center" wrapText="1"/>
    </xf>
    <xf numFmtId="0" fontId="11" fillId="0" borderId="8" xfId="0" applyFont="1" applyBorder="1"/>
    <xf numFmtId="0" fontId="11" fillId="0" borderId="9" xfId="0" applyFont="1" applyBorder="1"/>
    <xf numFmtId="0" fontId="15" fillId="0" borderId="0" xfId="0" applyFont="1" applyAlignment="1">
      <alignment horizontal="center" vertical="center"/>
    </xf>
    <xf numFmtId="0" fontId="5" fillId="0" borderId="0" xfId="0" applyFont="1" applyAlignment="1">
      <alignment horizontal="center"/>
    </xf>
    <xf numFmtId="0" fontId="10" fillId="2" borderId="7"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10" fillId="2" borderId="9" xfId="0" applyFont="1" applyFill="1" applyBorder="1" applyAlignment="1">
      <alignment horizontal="center" vertical="center" wrapText="1"/>
    </xf>
    <xf numFmtId="3" fontId="13" fillId="3" borderId="10" xfId="0" applyNumberFormat="1" applyFont="1" applyFill="1" applyBorder="1" applyAlignment="1">
      <alignment horizontal="center" vertical="center"/>
    </xf>
    <xf numFmtId="3" fontId="13" fillId="3" borderId="0" xfId="0" applyNumberFormat="1" applyFont="1" applyFill="1" applyAlignment="1">
      <alignment horizontal="center" vertical="center"/>
    </xf>
    <xf numFmtId="3" fontId="13" fillId="3" borderId="11" xfId="0" applyNumberFormat="1" applyFont="1" applyFill="1" applyBorder="1" applyAlignment="1">
      <alignment horizontal="center" vertical="center"/>
    </xf>
    <xf numFmtId="3" fontId="13" fillId="3" borderId="12" xfId="0" applyNumberFormat="1" applyFont="1" applyFill="1" applyBorder="1" applyAlignment="1">
      <alignment horizontal="center" vertical="center"/>
    </xf>
    <xf numFmtId="3" fontId="13" fillId="3" borderId="13" xfId="0" applyNumberFormat="1" applyFont="1" applyFill="1" applyBorder="1" applyAlignment="1">
      <alignment horizontal="center" vertical="center"/>
    </xf>
    <xf numFmtId="3" fontId="13" fillId="3" borderId="14" xfId="0" applyNumberFormat="1" applyFont="1" applyFill="1" applyBorder="1" applyAlignment="1">
      <alignment horizontal="center" vertical="center"/>
    </xf>
    <xf numFmtId="0" fontId="4" fillId="0" borderId="6" xfId="0" applyFont="1" applyBorder="1" applyAlignment="1">
      <alignment horizontal="center"/>
    </xf>
    <xf numFmtId="0" fontId="13" fillId="3" borderId="10" xfId="0" applyFont="1" applyFill="1" applyBorder="1" applyAlignment="1">
      <alignment horizontal="center" vertical="center"/>
    </xf>
    <xf numFmtId="0" fontId="13" fillId="3" borderId="0" xfId="0" applyFont="1" applyFill="1" applyAlignment="1">
      <alignment horizontal="center" vertical="center"/>
    </xf>
    <xf numFmtId="0" fontId="13" fillId="3" borderId="11" xfId="0" applyFont="1" applyFill="1" applyBorder="1" applyAlignment="1">
      <alignment horizontal="center" vertical="center"/>
    </xf>
    <xf numFmtId="0" fontId="13" fillId="3" borderId="12" xfId="0" applyFont="1" applyFill="1" applyBorder="1" applyAlignment="1">
      <alignment horizontal="center" vertical="center"/>
    </xf>
    <xf numFmtId="0" fontId="13" fillId="3" borderId="13" xfId="0" applyFont="1" applyFill="1" applyBorder="1" applyAlignment="1">
      <alignment horizontal="center" vertical="center"/>
    </xf>
    <xf numFmtId="0" fontId="13" fillId="3" borderId="14" xfId="0" applyFont="1" applyFill="1" applyBorder="1" applyAlignment="1">
      <alignment horizontal="center" vertical="center"/>
    </xf>
    <xf numFmtId="165" fontId="13" fillId="3" borderId="10" xfId="0" applyNumberFormat="1" applyFont="1" applyFill="1" applyBorder="1" applyAlignment="1">
      <alignment horizontal="center" vertical="center"/>
    </xf>
    <xf numFmtId="165" fontId="13" fillId="3" borderId="0" xfId="0" applyNumberFormat="1" applyFont="1" applyFill="1" applyAlignment="1">
      <alignment horizontal="center" vertical="center"/>
    </xf>
    <xf numFmtId="165" fontId="13" fillId="3" borderId="11" xfId="0" applyNumberFormat="1" applyFont="1" applyFill="1" applyBorder="1" applyAlignment="1">
      <alignment horizontal="center" vertical="center"/>
    </xf>
    <xf numFmtId="165" fontId="13" fillId="3" borderId="12" xfId="0" applyNumberFormat="1" applyFont="1" applyFill="1" applyBorder="1" applyAlignment="1">
      <alignment horizontal="center" vertical="center"/>
    </xf>
    <xf numFmtId="165" fontId="13" fillId="3" borderId="13" xfId="0" applyNumberFormat="1" applyFont="1" applyFill="1" applyBorder="1" applyAlignment="1">
      <alignment horizontal="center" vertical="center"/>
    </xf>
    <xf numFmtId="165" fontId="13" fillId="3" borderId="14" xfId="0" applyNumberFormat="1" applyFont="1" applyFill="1" applyBorder="1" applyAlignment="1">
      <alignment horizontal="center" vertical="center"/>
    </xf>
    <xf numFmtId="0" fontId="8" fillId="5" borderId="0" xfId="0" applyFont="1" applyFill="1" applyAlignment="1">
      <alignment horizontal="center" vertical="center"/>
    </xf>
    <xf numFmtId="0" fontId="4" fillId="0" borderId="0" xfId="0" applyFont="1" applyAlignment="1">
      <alignment horizontal="center" vertical="center"/>
    </xf>
    <xf numFmtId="0" fontId="18" fillId="0" borderId="0" xfId="0" applyFont="1"/>
    <xf numFmtId="0" fontId="5" fillId="0" borderId="0" xfId="0" applyFont="1" applyAlignment="1">
      <alignment horizontal="left" vertical="top" wrapText="1"/>
    </xf>
    <xf numFmtId="0" fontId="17" fillId="7" borderId="0" xfId="0" applyFont="1" applyFill="1" applyAlignment="1">
      <alignment horizontal="center" vertical="center"/>
    </xf>
  </cellXfs>
  <cellStyles count="7">
    <cellStyle name="Normal" xfId="0" builtinId="0"/>
    <cellStyle name="Pivot Table Category" xfId="4" xr:uid="{00000000-0005-0000-0000-000004000000}"/>
    <cellStyle name="Pivot Table Corner" xfId="1" xr:uid="{00000000-0005-0000-0000-000001000000}"/>
    <cellStyle name="Pivot Table Field" xfId="3" xr:uid="{00000000-0005-0000-0000-000003000000}"/>
    <cellStyle name="Pivot Table Result" xfId="6" xr:uid="{00000000-0005-0000-0000-000006000000}"/>
    <cellStyle name="Pivot Table Title" xfId="5" xr:uid="{00000000-0005-0000-0000-000005000000}"/>
    <cellStyle name="Pivot Table Value" xfId="2" xr:uid="{00000000-0005-0000-0000-000002000000}"/>
  </cellStyles>
  <dxfs count="94">
    <dxf>
      <alignment horizontal="right"/>
    </dxf>
    <dxf>
      <font>
        <name val="Aptos"/>
      </font>
    </dxf>
    <dxf>
      <font>
        <name val="Aptos"/>
      </font>
    </dxf>
    <dxf>
      <font>
        <name val="Aptos"/>
      </font>
    </dxf>
    <dxf>
      <font>
        <name val="Aptos"/>
      </font>
    </dxf>
    <dxf>
      <alignment horizontal="general" vertical="bottom" textRotation="0" wrapText="0" indent="0" justifyLastLine="0" shrinkToFit="0" readingOrder="0"/>
    </dxf>
    <dxf>
      <alignment horizontal="general" vertical="bottom" textRotation="0" wrapText="0" indent="0" justifyLastLine="0" shrinkToFit="0" readingOrder="0"/>
    </dxf>
    <dxf>
      <font>
        <name val="Aptos"/>
      </font>
    </dxf>
    <dxf>
      <font>
        <name val="Aptos"/>
      </font>
    </dxf>
    <dxf>
      <font>
        <name val="Aptos"/>
      </font>
    </dxf>
    <dxf>
      <font>
        <name val="Aptos"/>
      </font>
    </dxf>
    <dxf>
      <alignment horizontal="right"/>
    </dxf>
    <dxf>
      <alignment horizontal="left"/>
    </dxf>
    <dxf>
      <alignment vertical="center"/>
    </dxf>
    <dxf>
      <alignment vertical="center"/>
    </dxf>
    <dxf>
      <alignment vertical="center"/>
    </dxf>
    <dxf>
      <alignment horizontal="center"/>
    </dxf>
    <dxf>
      <alignment horizontal="center"/>
    </dxf>
    <dxf>
      <font>
        <name val="Aptos"/>
      </font>
    </dxf>
    <dxf>
      <font>
        <name val="Aptos"/>
      </font>
    </dxf>
    <dxf>
      <font>
        <name val="Aptos"/>
      </font>
    </dxf>
    <dxf>
      <font>
        <name val="Aptos"/>
      </font>
    </dxf>
    <dxf>
      <alignment horizontal="right"/>
    </dxf>
    <dxf>
      <numFmt numFmtId="165" formatCode="&quot;₹&quot;\ #,##0"/>
    </dxf>
    <dxf>
      <numFmt numFmtId="165" formatCode="&quot;₹&quot;\ #,##0"/>
    </dxf>
    <dxf>
      <numFmt numFmtId="165" formatCode="&quot;₹&quot;\ #,##0"/>
    </dxf>
    <dxf>
      <numFmt numFmtId="3" formatCode="#,##0"/>
    </dxf>
    <dxf>
      <alignment horizontal="right"/>
    </dxf>
    <dxf>
      <font>
        <name val="Aptos"/>
      </font>
    </dxf>
    <dxf>
      <font>
        <name val="Aptos"/>
      </font>
    </dxf>
    <dxf>
      <font>
        <name val="Aptos"/>
      </font>
    </dxf>
    <dxf>
      <font>
        <name val="Aptos"/>
      </font>
    </dxf>
    <dxf>
      <border>
        <left/>
        <right/>
        <top/>
        <bottom/>
        <vertical/>
        <horizontal/>
      </border>
    </dxf>
    <dxf>
      <border>
        <left/>
        <right/>
        <top/>
        <bottom/>
        <vertical/>
        <horizontal/>
      </border>
    </dxf>
    <dxf>
      <font>
        <strike val="0"/>
        <outline val="0"/>
        <shadow val="0"/>
        <u val="none"/>
        <vertAlign val="baseline"/>
        <name val="Aptos"/>
        <family val="2"/>
        <scheme val="none"/>
      </font>
    </dxf>
    <dxf>
      <font>
        <strike val="0"/>
        <outline val="0"/>
        <shadow val="0"/>
        <u val="none"/>
        <vertAlign val="baseline"/>
        <name val="Aptos"/>
        <family val="2"/>
        <scheme val="none"/>
      </font>
    </dxf>
    <dxf>
      <font>
        <strike val="0"/>
        <outline val="0"/>
        <shadow val="0"/>
        <u val="none"/>
        <vertAlign val="baseline"/>
        <name val="Aptos"/>
        <family val="2"/>
        <scheme val="none"/>
      </font>
    </dxf>
    <dxf>
      <font>
        <strike val="0"/>
        <outline val="0"/>
        <shadow val="0"/>
        <u val="none"/>
        <vertAlign val="baseline"/>
        <name val="Aptos"/>
        <family val="2"/>
        <scheme val="none"/>
      </font>
    </dxf>
    <dxf>
      <font>
        <strike val="0"/>
        <outline val="0"/>
        <shadow val="0"/>
        <u val="none"/>
        <vertAlign val="baseline"/>
        <name val="Aptos"/>
        <family val="2"/>
        <scheme val="none"/>
      </font>
    </dxf>
    <dxf>
      <font>
        <strike val="0"/>
        <outline val="0"/>
        <shadow val="0"/>
        <u val="none"/>
        <vertAlign val="baseline"/>
        <name val="Aptos"/>
        <family val="2"/>
        <scheme val="none"/>
      </font>
    </dxf>
    <dxf>
      <font>
        <strike val="0"/>
        <outline val="0"/>
        <shadow val="0"/>
        <u val="none"/>
        <vertAlign val="baseline"/>
        <name val="Aptos"/>
        <family val="2"/>
        <scheme val="none"/>
      </font>
    </dxf>
    <dxf>
      <font>
        <strike val="0"/>
        <outline val="0"/>
        <shadow val="0"/>
        <u val="none"/>
        <vertAlign val="baseline"/>
        <name val="Aptos"/>
        <family val="2"/>
        <scheme val="none"/>
      </font>
    </dxf>
    <dxf>
      <font>
        <strike val="0"/>
        <outline val="0"/>
        <shadow val="0"/>
        <u val="none"/>
        <vertAlign val="baseline"/>
        <name val="Aptos"/>
        <family val="2"/>
        <scheme val="none"/>
      </font>
    </dxf>
    <dxf>
      <font>
        <strike val="0"/>
        <outline val="0"/>
        <shadow val="0"/>
        <u val="none"/>
        <vertAlign val="baseline"/>
        <name val="Aptos"/>
        <family val="2"/>
        <scheme val="none"/>
      </font>
    </dxf>
    <dxf>
      <font>
        <strike val="0"/>
        <outline val="0"/>
        <shadow val="0"/>
        <u val="none"/>
        <vertAlign val="baseline"/>
        <name val="Aptos"/>
        <family val="2"/>
        <scheme val="none"/>
      </font>
    </dxf>
    <dxf>
      <font>
        <strike val="0"/>
        <outline val="0"/>
        <shadow val="0"/>
        <u val="none"/>
        <vertAlign val="baseline"/>
        <name val="Aptos"/>
        <family val="2"/>
        <scheme val="none"/>
      </font>
    </dxf>
    <dxf>
      <font>
        <strike val="0"/>
        <outline val="0"/>
        <shadow val="0"/>
        <u val="none"/>
        <vertAlign val="baseline"/>
        <name val="Aptos"/>
        <family val="2"/>
        <scheme val="none"/>
      </font>
    </dxf>
    <dxf>
      <font>
        <strike val="0"/>
        <outline val="0"/>
        <shadow val="0"/>
        <u val="none"/>
        <vertAlign val="baseline"/>
        <name val="Aptos"/>
        <family val="2"/>
        <scheme val="none"/>
      </font>
    </dxf>
    <dxf>
      <font>
        <strike val="0"/>
        <outline val="0"/>
        <shadow val="0"/>
        <u val="none"/>
        <vertAlign val="baseline"/>
        <name val="Aptos"/>
        <family val="2"/>
        <scheme val="none"/>
      </font>
    </dxf>
    <dxf>
      <font>
        <strike val="0"/>
        <outline val="0"/>
        <shadow val="0"/>
        <u val="none"/>
        <vertAlign val="baseline"/>
        <name val="Aptos"/>
        <family val="2"/>
        <scheme val="none"/>
      </font>
    </dxf>
    <dxf>
      <font>
        <strike val="0"/>
        <outline val="0"/>
        <shadow val="0"/>
        <u val="none"/>
        <vertAlign val="baseline"/>
        <name val="Aptos"/>
        <family val="2"/>
        <scheme val="none"/>
      </font>
    </dxf>
    <dxf>
      <font>
        <strike val="0"/>
        <outline val="0"/>
        <shadow val="0"/>
        <u val="none"/>
        <vertAlign val="baseline"/>
        <name val="Aptos"/>
        <family val="2"/>
        <scheme val="none"/>
      </font>
    </dxf>
    <dxf>
      <font>
        <strike val="0"/>
        <outline val="0"/>
        <shadow val="0"/>
        <u val="none"/>
        <vertAlign val="baseline"/>
        <name val="Aptos"/>
        <family val="2"/>
        <scheme val="none"/>
      </font>
    </dxf>
    <dxf>
      <font>
        <strike val="0"/>
        <outline val="0"/>
        <shadow val="0"/>
        <u val="none"/>
        <vertAlign val="baseline"/>
        <name val="Aptos"/>
        <family val="2"/>
        <scheme val="none"/>
      </font>
    </dxf>
    <dxf>
      <font>
        <strike val="0"/>
        <outline val="0"/>
        <shadow val="0"/>
        <u val="none"/>
        <vertAlign val="baseline"/>
        <name val="Aptos"/>
        <family val="2"/>
        <scheme val="none"/>
      </font>
    </dxf>
    <dxf>
      <font>
        <strike val="0"/>
        <outline val="0"/>
        <shadow val="0"/>
        <u val="none"/>
        <vertAlign val="baseline"/>
        <sz val="11"/>
        <name val="Aptos"/>
        <family val="2"/>
        <scheme val="none"/>
      </font>
      <alignment horizontal="center" vertical="center" textRotation="0" indent="0" justifyLastLine="0" shrinkToFit="0" readingOrder="0"/>
    </dxf>
    <dxf>
      <font>
        <strike val="0"/>
        <outline val="0"/>
        <shadow val="0"/>
        <u val="none"/>
        <vertAlign val="baseline"/>
        <sz val="11"/>
        <name val="Aptos"/>
        <family val="2"/>
        <scheme val="none"/>
      </font>
      <alignment horizontal="center" vertical="center" textRotation="0" indent="0" justifyLastLine="0" shrinkToFit="0" readingOrder="0"/>
    </dxf>
    <dxf>
      <font>
        <strike val="0"/>
        <outline val="0"/>
        <shadow val="0"/>
        <u val="none"/>
        <vertAlign val="baseline"/>
        <sz val="11"/>
        <name val="Aptos"/>
        <family val="2"/>
        <scheme val="none"/>
      </font>
      <alignment horizontal="center" vertical="center" textRotation="0" indent="0" justifyLastLine="0" shrinkToFit="0" readingOrder="0"/>
    </dxf>
    <dxf>
      <font>
        <strike val="0"/>
        <outline val="0"/>
        <shadow val="0"/>
        <u val="none"/>
        <vertAlign val="baseline"/>
        <sz val="11"/>
        <name val="Aptos"/>
        <family val="2"/>
        <scheme val="none"/>
      </font>
      <alignment horizontal="center" vertical="center" textRotation="0" indent="0" justifyLastLine="0" shrinkToFit="0" readingOrder="0"/>
    </dxf>
    <dxf>
      <font>
        <strike val="0"/>
        <outline val="0"/>
        <shadow val="0"/>
        <u val="none"/>
        <vertAlign val="baseline"/>
        <sz val="11"/>
        <name val="Aptos"/>
        <family val="2"/>
        <scheme val="none"/>
      </font>
      <alignment horizontal="center" vertical="center" textRotation="0" indent="0" justifyLastLine="0" shrinkToFit="0" readingOrder="0"/>
    </dxf>
    <dxf>
      <font>
        <strike val="0"/>
        <outline val="0"/>
        <shadow val="0"/>
        <u val="none"/>
        <vertAlign val="baseline"/>
        <sz val="11"/>
        <name val="Aptos"/>
        <family val="2"/>
        <scheme val="none"/>
      </font>
      <alignment horizontal="center" vertical="center" textRotation="0" indent="0" justifyLastLine="0" shrinkToFit="0" readingOrder="0"/>
    </dxf>
    <dxf>
      <font>
        <strike val="0"/>
        <outline val="0"/>
        <shadow val="0"/>
        <u val="none"/>
        <vertAlign val="baseline"/>
        <sz val="11"/>
        <name val="Aptos"/>
        <family val="2"/>
        <scheme val="none"/>
      </font>
      <alignment horizontal="center" vertical="center" textRotation="0" indent="0" justifyLastLine="0" shrinkToFit="0" readingOrder="0"/>
    </dxf>
    <dxf>
      <font>
        <strike val="0"/>
        <outline val="0"/>
        <shadow val="0"/>
        <u val="none"/>
        <vertAlign val="baseline"/>
        <sz val="11"/>
        <name val="Aptos"/>
        <family val="2"/>
        <scheme val="none"/>
      </font>
      <alignment horizontal="center" vertical="center" textRotation="0" indent="0" justifyLastLine="0" shrinkToFit="0" readingOrder="0"/>
    </dxf>
    <dxf>
      <font>
        <strike val="0"/>
        <outline val="0"/>
        <shadow val="0"/>
        <u val="none"/>
        <vertAlign val="baseline"/>
        <sz val="11"/>
        <name val="Aptos"/>
        <family val="2"/>
        <scheme val="none"/>
      </font>
      <alignment horizontal="center" vertical="center" textRotation="0" indent="0" justifyLastLine="0" shrinkToFit="0" readingOrder="0"/>
    </dxf>
    <dxf>
      <font>
        <strike val="0"/>
        <outline val="0"/>
        <shadow val="0"/>
        <u val="none"/>
        <vertAlign val="baseline"/>
        <sz val="11"/>
        <color auto="1"/>
        <name val="Aptos"/>
        <family val="2"/>
        <scheme val="none"/>
      </font>
      <alignment horizontal="center" vertical="center" textRotation="0" wrapText="0" indent="0" justifyLastLine="0" shrinkToFit="0" readingOrder="0"/>
    </dxf>
    <dxf>
      <font>
        <strike val="0"/>
        <outline val="0"/>
        <shadow val="0"/>
        <u val="none"/>
        <vertAlign val="baseline"/>
        <sz val="11"/>
        <name val="Aptos"/>
        <family val="2"/>
        <scheme val="none"/>
      </font>
      <alignment horizontal="center" vertical="center" textRotation="0" indent="0" justifyLastLine="0" shrinkToFit="0" readingOrder="0"/>
    </dxf>
    <dxf>
      <font>
        <strike val="0"/>
        <outline val="0"/>
        <shadow val="0"/>
        <u val="none"/>
        <vertAlign val="baseline"/>
        <sz val="11"/>
        <name val="Aptos"/>
        <family val="2"/>
        <scheme val="none"/>
      </font>
      <alignment horizontal="center" vertical="center" textRotation="0" indent="0" justifyLastLine="0" shrinkToFit="0" readingOrder="0"/>
    </dxf>
    <dxf>
      <font>
        <strike val="0"/>
        <outline val="0"/>
        <shadow val="0"/>
        <u val="none"/>
        <vertAlign val="baseline"/>
        <sz val="11"/>
        <name val="Aptos"/>
        <family val="2"/>
        <scheme val="none"/>
      </font>
      <alignment horizontal="center" vertical="center" textRotation="0" indent="0" justifyLastLine="0" shrinkToFit="0" readingOrder="0"/>
    </dxf>
    <dxf>
      <font>
        <strike val="0"/>
        <outline val="0"/>
        <shadow val="0"/>
        <u val="none"/>
        <vertAlign val="baseline"/>
        <sz val="11"/>
        <name val="Aptos"/>
        <family val="2"/>
        <scheme val="none"/>
      </font>
      <alignment horizontal="center" vertical="center" textRotation="0" indent="0" justifyLastLine="0" shrinkToFit="0" readingOrder="0"/>
    </dxf>
    <dxf>
      <font>
        <strike val="0"/>
        <outline val="0"/>
        <shadow val="0"/>
        <u val="none"/>
        <vertAlign val="baseline"/>
        <sz val="14"/>
        <color theme="1"/>
        <name val="Aptos"/>
        <family val="2"/>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Aptos"/>
        <family val="2"/>
        <scheme val="none"/>
      </font>
      <numFmt numFmtId="0" formatCode="General"/>
    </dxf>
    <dxf>
      <font>
        <strike val="0"/>
        <outline val="0"/>
        <shadow val="0"/>
        <u val="none"/>
        <vertAlign val="baseline"/>
        <color auto="1"/>
        <name val="Aptos"/>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dxf>
    <dxf>
      <font>
        <strike val="0"/>
        <outline val="0"/>
        <shadow val="0"/>
        <u val="none"/>
        <vertAlign val="baseline"/>
        <name val="Aptos"/>
        <family val="2"/>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Aptos"/>
        <family val="2"/>
        <scheme val="none"/>
      </font>
    </dxf>
    <dxf>
      <font>
        <strike val="0"/>
        <outline val="0"/>
        <shadow val="0"/>
        <u val="none"/>
        <vertAlign val="baseline"/>
        <name val="Aptos"/>
        <family val="2"/>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Aptos"/>
        <family val="2"/>
        <scheme val="none"/>
      </font>
    </dxf>
    <dxf>
      <font>
        <strike val="0"/>
        <outline val="0"/>
        <shadow val="0"/>
        <u val="none"/>
        <vertAlign val="baseline"/>
        <name val="Aptos"/>
        <family val="2"/>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Aptos"/>
        <family val="2"/>
        <scheme val="none"/>
      </font>
    </dxf>
    <dxf>
      <font>
        <strike val="0"/>
        <outline val="0"/>
        <shadow val="0"/>
        <u val="none"/>
        <vertAlign val="baseline"/>
        <name val="Aptos"/>
        <family val="2"/>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Aptos"/>
        <family val="2"/>
        <scheme val="none"/>
      </font>
    </dxf>
    <dxf>
      <font>
        <strike val="0"/>
        <outline val="0"/>
        <shadow val="0"/>
        <u val="none"/>
        <vertAlign val="baseline"/>
        <name val="Aptos"/>
        <family val="2"/>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Aptos"/>
        <family val="2"/>
        <scheme val="none"/>
      </font>
    </dxf>
    <dxf>
      <font>
        <strike val="0"/>
        <outline val="0"/>
        <shadow val="0"/>
        <u val="none"/>
        <vertAlign val="baseline"/>
        <name val="Aptos"/>
        <family val="2"/>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Aptos"/>
        <family val="2"/>
        <scheme val="none"/>
      </font>
    </dxf>
    <dxf>
      <font>
        <strike val="0"/>
        <outline val="0"/>
        <shadow val="0"/>
        <u val="none"/>
        <vertAlign val="baseline"/>
        <name val="Aptos"/>
        <family val="2"/>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Aptos"/>
        <family val="2"/>
        <scheme val="none"/>
      </font>
    </dxf>
    <dxf>
      <font>
        <strike val="0"/>
        <outline val="0"/>
        <shadow val="0"/>
        <u val="none"/>
        <vertAlign val="baseline"/>
        <name val="Aptos"/>
        <family val="2"/>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Aptos"/>
        <family val="2"/>
        <scheme val="none"/>
      </font>
    </dxf>
    <dxf>
      <font>
        <strike val="0"/>
        <outline val="0"/>
        <shadow val="0"/>
        <u val="none"/>
        <vertAlign val="baseline"/>
        <name val="Aptos"/>
        <family val="2"/>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Aptos"/>
        <family val="2"/>
        <scheme val="none"/>
      </font>
    </dxf>
    <dxf>
      <font>
        <strike val="0"/>
        <outline val="0"/>
        <shadow val="0"/>
        <u val="none"/>
        <vertAlign val="baseline"/>
        <name val="Aptos"/>
        <family val="2"/>
        <scheme val="none"/>
      </font>
      <alignment horizontal="center" vertical="center" textRotation="0" indent="0" justifyLastLine="0" shrinkToFit="0" readingOrder="0"/>
    </dxf>
    <dxf>
      <font>
        <strike val="0"/>
        <outline val="0"/>
        <shadow val="0"/>
        <u val="none"/>
        <vertAlign val="baseline"/>
        <name val="Aptos"/>
        <family val="2"/>
        <scheme val="none"/>
      </font>
      <alignment horizontal="center" vertical="center" textRotation="0" indent="0" justifyLastLine="0" shrinkToFit="0" readingOrder="0"/>
    </dxf>
    <dxf>
      <font>
        <strike val="0"/>
        <outline val="0"/>
        <shadow val="0"/>
        <u val="none"/>
        <vertAlign val="baseline"/>
        <name val="Aptos"/>
        <family val="2"/>
        <scheme val="none"/>
      </font>
      <alignment horizontal="center" vertical="center" textRotation="0"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EEBF7"/>
      <rgbColor rgb="FFCCFFCC"/>
      <rgbColor rgb="FFFFFF99"/>
      <rgbColor rgb="FF99CCFF"/>
      <rgbColor rgb="FFFF99CC"/>
      <rgbColor rgb="FFCC99FF"/>
      <rgbColor rgb="FFFFCC99"/>
      <rgbColor rgb="FF4472C4"/>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[Portfolio.xlsx]Pivot Tables!Sales By Series</c:name>
    <c:fmtId val="0"/>
  </c:pivotSource>
  <c:chart>
    <c:autoTitleDeleted val="1"/>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Tables'!$A$4:$A$10</c:f>
              <c:strCache>
                <c:ptCount val="6"/>
                <c:pt idx="0">
                  <c:v>Cassian</c:v>
                </c:pt>
                <c:pt idx="1">
                  <c:v>Romulus</c:v>
                </c:pt>
                <c:pt idx="2">
                  <c:v>Orion</c:v>
                </c:pt>
                <c:pt idx="3">
                  <c:v>Evander</c:v>
                </c:pt>
                <c:pt idx="4">
                  <c:v>Aurelia</c:v>
                </c:pt>
                <c:pt idx="5">
                  <c:v>Selene</c:v>
                </c:pt>
              </c:strCache>
            </c:strRef>
          </c:cat>
          <c:val>
            <c:numRef>
              <c:f>'Pivot Tables'!$B$4:$B$10</c:f>
              <c:numCache>
                <c:formatCode>General</c:formatCode>
                <c:ptCount val="6"/>
                <c:pt idx="0">
                  <c:v>53</c:v>
                </c:pt>
                <c:pt idx="1">
                  <c:v>41</c:v>
                </c:pt>
                <c:pt idx="2">
                  <c:v>22</c:v>
                </c:pt>
                <c:pt idx="3">
                  <c:v>13</c:v>
                </c:pt>
                <c:pt idx="4">
                  <c:v>9</c:v>
                </c:pt>
                <c:pt idx="5">
                  <c:v>8</c:v>
                </c:pt>
              </c:numCache>
            </c:numRef>
          </c:val>
          <c:extLst>
            <c:ext xmlns:c16="http://schemas.microsoft.com/office/drawing/2014/chart" uri="{C3380CC4-5D6E-409C-BE32-E72D297353CC}">
              <c16:uniqueId val="{00000000-5CE3-4DB4-A3BE-E7FD81D6772E}"/>
            </c:ext>
          </c:extLst>
        </c:ser>
        <c:dLbls>
          <c:dLblPos val="inEnd"/>
          <c:showLegendKey val="0"/>
          <c:showVal val="1"/>
          <c:showCatName val="0"/>
          <c:showSerName val="0"/>
          <c:showPercent val="0"/>
          <c:showBubbleSize val="0"/>
        </c:dLbls>
        <c:gapWidth val="41"/>
        <c:axId val="1747968623"/>
        <c:axId val="1629403215"/>
      </c:barChart>
      <c:catAx>
        <c:axId val="1747968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629403215"/>
        <c:crosses val="autoZero"/>
        <c:auto val="1"/>
        <c:lblAlgn val="ctr"/>
        <c:lblOffset val="100"/>
        <c:noMultiLvlLbl val="0"/>
      </c:catAx>
      <c:valAx>
        <c:axId val="1629403215"/>
        <c:scaling>
          <c:orientation val="minMax"/>
        </c:scaling>
        <c:delete val="1"/>
        <c:axPos val="l"/>
        <c:numFmt formatCode="General" sourceLinked="1"/>
        <c:majorTickMark val="none"/>
        <c:minorTickMark val="none"/>
        <c:tickLblPos val="nextTo"/>
        <c:crossAx val="1747968623"/>
        <c:crosses val="autoZero"/>
        <c:crossBetween val="between"/>
      </c:valAx>
      <c:spPr>
        <a:noFill/>
        <a:ln>
          <a:noFill/>
        </a:ln>
        <a:effectLst/>
      </c:spPr>
    </c:plotArea>
    <c:plotVisOnly val="1"/>
    <c:dispBlanksAs val="gap"/>
    <c:showDLblsOverMax val="1"/>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tx1">
          <a:lumMod val="15000"/>
          <a:lumOff val="85000"/>
          <a:alpha val="99000"/>
        </a:schemeClr>
      </a:solidFill>
      <a:round/>
    </a:ln>
    <a:effectLst>
      <a:glow>
        <a:schemeClr val="accent1">
          <a:alpha val="96000"/>
        </a:schemeClr>
      </a:glo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[Portfolio.xlsx]Pivot Tables!PivotTable5</c:name>
    <c:fmtId val="0"/>
  </c:pivotSource>
  <c:chart>
    <c:autoTitleDeleted val="1"/>
    <c:pivotFmts>
      <c:pivotFmt>
        <c:idx val="0"/>
        <c:spPr>
          <a:ln>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spPr>
          <a:solidFill>
            <a:schemeClr val="accent3"/>
          </a:solidFill>
          <a:ln>
            <a:noFill/>
            <a:prstDash val="solid"/>
          </a:ln>
          <a:sp3d prstMaterial="flat"/>
        </c:spPr>
      </c:pivotFmt>
      <c:pivotFmt>
        <c:idx val="5"/>
        <c:spPr>
          <a:solidFill>
            <a:schemeClr val="accent1"/>
          </a:solidFill>
          <a:ln>
            <a:noFill/>
            <a:prstDash val="solid"/>
          </a:ln>
          <a:sp3d prstMaterial="flat"/>
        </c:spPr>
      </c:pivotFmt>
      <c:pivotFmt>
        <c:idx val="6"/>
        <c:spPr>
          <a:solidFill>
            <a:schemeClr val="accent2"/>
          </a:solidFill>
          <a:ln>
            <a:noFill/>
            <a:prstDash val="solid"/>
          </a:ln>
          <a:sp3d prstMaterial="flat"/>
        </c:spPr>
      </c:pivotFmt>
    </c:pivotFmts>
    <c:plotArea>
      <c:layout>
        <c:manualLayout>
          <c:layoutTarget val="inner"/>
          <c:xMode val="edge"/>
          <c:yMode val="edge"/>
          <c:x val="0.18512522531069159"/>
          <c:y val="2.2345502266762109E-2"/>
          <c:w val="0.66910112892514939"/>
          <c:h val="0.95750678794461042"/>
        </c:manualLayout>
      </c:layout>
      <c:doughnutChart>
        <c:varyColors val="1"/>
        <c:ser>
          <c:idx val="0"/>
          <c:order val="0"/>
          <c:tx>
            <c:strRef>
              <c:f>'Pivot Tables'!$E$3</c:f>
              <c:strCache>
                <c:ptCount val="1"/>
                <c:pt idx="0">
                  <c:v>Total</c:v>
                </c:pt>
              </c:strCache>
            </c:strRef>
          </c:tx>
          <c:spPr>
            <a:ln>
              <a:prstDash val="solid"/>
            </a:ln>
          </c:spPr>
          <c:dPt>
            <c:idx val="0"/>
            <c:bubble3D val="0"/>
            <c:spPr>
              <a:solidFill>
                <a:schemeClr val="accent1"/>
              </a:solidFill>
              <a:ln>
                <a:noFill/>
                <a:prstDash val="solid"/>
              </a:ln>
              <a:sp3d prstMaterial="flat"/>
            </c:spPr>
            <c:extLst>
              <c:ext xmlns:c16="http://schemas.microsoft.com/office/drawing/2014/chart" uri="{C3380CC4-5D6E-409C-BE32-E72D297353CC}">
                <c16:uniqueId val="{00000001-C86E-4B09-AC5F-8EBC3A87EA96}"/>
              </c:ext>
            </c:extLst>
          </c:dPt>
          <c:dPt>
            <c:idx val="1"/>
            <c:bubble3D val="0"/>
            <c:spPr>
              <a:solidFill>
                <a:schemeClr val="accent2"/>
              </a:solidFill>
              <a:ln>
                <a:noFill/>
                <a:prstDash val="solid"/>
              </a:ln>
              <a:sp3d prstMaterial="flat"/>
            </c:spPr>
            <c:extLst>
              <c:ext xmlns:c16="http://schemas.microsoft.com/office/drawing/2014/chart" uri="{C3380CC4-5D6E-409C-BE32-E72D297353CC}">
                <c16:uniqueId val="{00000003-C86E-4B09-AC5F-8EBC3A87EA96}"/>
              </c:ext>
            </c:extLst>
          </c:dPt>
          <c:dPt>
            <c:idx val="2"/>
            <c:bubble3D val="0"/>
            <c:spPr>
              <a:solidFill>
                <a:schemeClr val="accent3"/>
              </a:solidFill>
              <a:ln>
                <a:noFill/>
                <a:prstDash val="solid"/>
              </a:ln>
              <a:sp3d prstMaterial="flat"/>
            </c:spPr>
            <c:extLst>
              <c:ext xmlns:c16="http://schemas.microsoft.com/office/drawing/2014/chart" uri="{C3380CC4-5D6E-409C-BE32-E72D297353CC}">
                <c16:uniqueId val="{00000005-C86E-4B09-AC5F-8EBC3A87EA96}"/>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'Pivot Tables'!$D$4:$D$6</c:f>
              <c:strCache>
                <c:ptCount val="3"/>
                <c:pt idx="0">
                  <c:v>Flipkart</c:v>
                </c:pt>
                <c:pt idx="1">
                  <c:v>Amazon</c:v>
                </c:pt>
                <c:pt idx="2">
                  <c:v>Myntra</c:v>
                </c:pt>
              </c:strCache>
            </c:strRef>
          </c:cat>
          <c:val>
            <c:numRef>
              <c:f>'Pivot Tables'!$E$4:$E$6</c:f>
              <c:numCache>
                <c:formatCode>General</c:formatCode>
                <c:ptCount val="3"/>
                <c:pt idx="0">
                  <c:v>104</c:v>
                </c:pt>
                <c:pt idx="1">
                  <c:v>30</c:v>
                </c:pt>
                <c:pt idx="2">
                  <c:v>12</c:v>
                </c:pt>
              </c:numCache>
            </c:numRef>
          </c:val>
          <c:extLst>
            <c:ext xmlns:c16="http://schemas.microsoft.com/office/drawing/2014/chart" uri="{C3380CC4-5D6E-409C-BE32-E72D297353CC}">
              <c16:uniqueId val="{00000006-C86E-4B09-AC5F-8EBC3A87EA96}"/>
            </c:ext>
          </c:extLst>
        </c:ser>
        <c:dLbls>
          <c:showLegendKey val="0"/>
          <c:showVal val="0"/>
          <c:showCatName val="0"/>
          <c:showSerName val="0"/>
          <c:showPercent val="1"/>
          <c:showBubbleSize val="0"/>
          <c:showLeaderLines val="1"/>
        </c:dLbls>
        <c:firstSliceAng val="0"/>
        <c:holeSize val="45"/>
      </c:doughnutChart>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[Portfolio.xlsx]Pivot Tables!PivotTable4</c:name>
    <c:fmtId val="0"/>
  </c:pivotSource>
  <c:chart>
    <c:autoTitleDeleted val="1"/>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Tables'!$B$16</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Tables'!$A$17:$A$23</c:f>
              <c:strCache>
                <c:ptCount val="6"/>
                <c:pt idx="0">
                  <c:v>Romulus</c:v>
                </c:pt>
                <c:pt idx="1">
                  <c:v>Cassian</c:v>
                </c:pt>
                <c:pt idx="2">
                  <c:v>Evander</c:v>
                </c:pt>
                <c:pt idx="3">
                  <c:v>Aurelia</c:v>
                </c:pt>
                <c:pt idx="4">
                  <c:v>Selene</c:v>
                </c:pt>
                <c:pt idx="5">
                  <c:v>Orion</c:v>
                </c:pt>
              </c:strCache>
            </c:strRef>
          </c:cat>
          <c:val>
            <c:numRef>
              <c:f>'Pivot Tables'!$B$17:$B$23</c:f>
              <c:numCache>
                <c:formatCode>General</c:formatCode>
                <c:ptCount val="6"/>
                <c:pt idx="0">
                  <c:v>1700</c:v>
                </c:pt>
                <c:pt idx="1">
                  <c:v>1380</c:v>
                </c:pt>
                <c:pt idx="2">
                  <c:v>607</c:v>
                </c:pt>
                <c:pt idx="3">
                  <c:v>351</c:v>
                </c:pt>
                <c:pt idx="4">
                  <c:v>238</c:v>
                </c:pt>
                <c:pt idx="5">
                  <c:v>52</c:v>
                </c:pt>
              </c:numCache>
            </c:numRef>
          </c:val>
          <c:extLst>
            <c:ext xmlns:c16="http://schemas.microsoft.com/office/drawing/2014/chart" uri="{C3380CC4-5D6E-409C-BE32-E72D297353CC}">
              <c16:uniqueId val="{00000000-CA85-4BB1-80AE-2591F211761C}"/>
            </c:ext>
          </c:extLst>
        </c:ser>
        <c:dLbls>
          <c:dLblPos val="inEnd"/>
          <c:showLegendKey val="0"/>
          <c:showVal val="1"/>
          <c:showCatName val="0"/>
          <c:showSerName val="0"/>
          <c:showPercent val="0"/>
          <c:showBubbleSize val="0"/>
        </c:dLbls>
        <c:gapWidth val="41"/>
        <c:axId val="1889554783"/>
        <c:axId val="1632287055"/>
      </c:barChart>
      <c:catAx>
        <c:axId val="1889554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632287055"/>
        <c:crosses val="autoZero"/>
        <c:auto val="1"/>
        <c:lblAlgn val="ctr"/>
        <c:lblOffset val="100"/>
        <c:noMultiLvlLbl val="0"/>
      </c:catAx>
      <c:valAx>
        <c:axId val="1632287055"/>
        <c:scaling>
          <c:orientation val="minMax"/>
        </c:scaling>
        <c:delete val="1"/>
        <c:axPos val="l"/>
        <c:numFmt formatCode="General" sourceLinked="1"/>
        <c:majorTickMark val="none"/>
        <c:minorTickMark val="none"/>
        <c:tickLblPos val="nextTo"/>
        <c:crossAx val="1889554783"/>
        <c:crosses val="autoZero"/>
        <c:crossBetween val="between"/>
      </c:valAx>
      <c:spPr>
        <a:noFill/>
        <a:ln>
          <a:noFill/>
        </a:ln>
        <a:effectLst/>
      </c:spPr>
    </c:plotArea>
    <c:plotVisOnly val="1"/>
    <c:dispBlanksAs val="gap"/>
    <c:showDLblsOverMax val="1"/>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[Portfolio.xlsx]Pivot Tables!PivotTable6</c:name>
    <c:fmtId val="3"/>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spPr>
          <a:ln>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prstDash val="solid"/>
          </a:ln>
          <a:sp3d prstMaterial="flat"/>
        </c:spPr>
      </c:pivotFmt>
      <c:pivotFmt>
        <c:idx val="7"/>
        <c:spPr>
          <a:solidFill>
            <a:schemeClr val="accent2"/>
          </a:solidFill>
          <a:ln>
            <a:noFill/>
            <a:prstDash val="solid"/>
          </a:ln>
          <a:sp3d prstMaterial="flat"/>
        </c:spPr>
      </c:pivotFmt>
      <c:pivotFmt>
        <c:idx val="8"/>
        <c:spPr>
          <a:solidFill>
            <a:schemeClr val="accent3"/>
          </a:solidFill>
          <a:ln>
            <a:noFill/>
            <a:prstDash val="solid"/>
          </a:ln>
          <a:sp3d prstMaterial="flat"/>
        </c:spPr>
      </c:pivotFmt>
    </c:pivotFmts>
    <c:plotArea>
      <c:layout>
        <c:manualLayout>
          <c:layoutTarget val="inner"/>
          <c:xMode val="edge"/>
          <c:yMode val="edge"/>
          <c:x val="0.1753070382331241"/>
          <c:y val="3.0825524637474611E-2"/>
          <c:w val="0.63959311537670693"/>
          <c:h val="0.94202515409555709"/>
        </c:manualLayout>
      </c:layout>
      <c:doughnutChart>
        <c:varyColors val="1"/>
        <c:ser>
          <c:idx val="0"/>
          <c:order val="0"/>
          <c:tx>
            <c:strRef>
              <c:f>'Pivot Tables'!$E$16</c:f>
              <c:strCache>
                <c:ptCount val="1"/>
                <c:pt idx="0">
                  <c:v>Total</c:v>
                </c:pt>
              </c:strCache>
            </c:strRef>
          </c:tx>
          <c:spPr>
            <a:ln>
              <a:prstDash val="solid"/>
            </a:ln>
          </c:spPr>
          <c:dPt>
            <c:idx val="0"/>
            <c:bubble3D val="0"/>
            <c:spPr>
              <a:solidFill>
                <a:schemeClr val="accent1"/>
              </a:solidFill>
              <a:ln>
                <a:noFill/>
                <a:prstDash val="solid"/>
              </a:ln>
              <a:sp3d prstMaterial="flat"/>
            </c:spPr>
            <c:extLst>
              <c:ext xmlns:c16="http://schemas.microsoft.com/office/drawing/2014/chart" uri="{C3380CC4-5D6E-409C-BE32-E72D297353CC}">
                <c16:uniqueId val="{00000001-8341-42AC-8EEB-09B4C81F8F31}"/>
              </c:ext>
            </c:extLst>
          </c:dPt>
          <c:dPt>
            <c:idx val="1"/>
            <c:bubble3D val="0"/>
            <c:spPr>
              <a:solidFill>
                <a:schemeClr val="accent2"/>
              </a:solidFill>
              <a:ln>
                <a:noFill/>
                <a:prstDash val="solid"/>
              </a:ln>
              <a:sp3d prstMaterial="flat"/>
            </c:spPr>
            <c:extLst>
              <c:ext xmlns:c16="http://schemas.microsoft.com/office/drawing/2014/chart" uri="{C3380CC4-5D6E-409C-BE32-E72D297353CC}">
                <c16:uniqueId val="{00000003-8341-42AC-8EEB-09B4C81F8F31}"/>
              </c:ext>
            </c:extLst>
          </c:dPt>
          <c:dPt>
            <c:idx val="2"/>
            <c:bubble3D val="0"/>
            <c:spPr>
              <a:solidFill>
                <a:schemeClr val="accent3"/>
              </a:solidFill>
              <a:ln>
                <a:noFill/>
                <a:prstDash val="solid"/>
              </a:ln>
              <a:sp3d prstMaterial="flat"/>
            </c:spPr>
            <c:extLst>
              <c:ext xmlns:c16="http://schemas.microsoft.com/office/drawing/2014/chart" uri="{C3380CC4-5D6E-409C-BE32-E72D297353CC}">
                <c16:uniqueId val="{00000005-8341-42AC-8EEB-09B4C81F8F31}"/>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'Pivot Tables'!$D$17:$D$19</c:f>
              <c:strCache>
                <c:ptCount val="3"/>
                <c:pt idx="0">
                  <c:v>Flipkart</c:v>
                </c:pt>
                <c:pt idx="1">
                  <c:v>Amazon</c:v>
                </c:pt>
                <c:pt idx="2">
                  <c:v>Myntra</c:v>
                </c:pt>
              </c:strCache>
            </c:strRef>
          </c:cat>
          <c:val>
            <c:numRef>
              <c:f>'Pivot Tables'!$E$17:$E$19</c:f>
              <c:numCache>
                <c:formatCode>General</c:formatCode>
                <c:ptCount val="3"/>
                <c:pt idx="0">
                  <c:v>987</c:v>
                </c:pt>
                <c:pt idx="1">
                  <c:v>378</c:v>
                </c:pt>
                <c:pt idx="2">
                  <c:v>18</c:v>
                </c:pt>
              </c:numCache>
            </c:numRef>
          </c:val>
          <c:extLst>
            <c:ext xmlns:c16="http://schemas.microsoft.com/office/drawing/2014/chart" uri="{C3380CC4-5D6E-409C-BE32-E72D297353CC}">
              <c16:uniqueId val="{00000006-8341-42AC-8EEB-09B4C81F8F31}"/>
            </c:ext>
          </c:extLst>
        </c:ser>
        <c:dLbls>
          <c:showLegendKey val="0"/>
          <c:showVal val="0"/>
          <c:showCatName val="0"/>
          <c:showSerName val="0"/>
          <c:showPercent val="1"/>
          <c:showBubbleSize val="0"/>
          <c:showLeaderLines val="1"/>
        </c:dLbls>
        <c:firstSliceAng val="0"/>
        <c:holeSize val="45"/>
      </c:doughnutChart>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477630285152407E-2"/>
          <c:y val="4.7734487734487734E-2"/>
          <c:w val="0.93518115752904263"/>
          <c:h val="0.84355361169958309"/>
        </c:manualLayout>
      </c:layout>
      <c:lineChart>
        <c:grouping val="standard"/>
        <c:varyColors val="0"/>
        <c:ser>
          <c:idx val="0"/>
          <c:order val="0"/>
          <c:tx>
            <c:strRef>
              <c:f>'Pivot Tables'!$K$3</c:f>
              <c:strCache>
                <c:ptCount val="1"/>
                <c:pt idx="0">
                  <c:v>Flipkart Sales</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Tables'!$J$4:$J$5</c:f>
              <c:strCache>
                <c:ptCount val="2"/>
                <c:pt idx="0">
                  <c:v>Jun</c:v>
                </c:pt>
                <c:pt idx="1">
                  <c:v>July</c:v>
                </c:pt>
              </c:strCache>
            </c:strRef>
          </c:cat>
          <c:val>
            <c:numRef>
              <c:f>'Pivot Tables'!$K$4:$K$5</c:f>
              <c:numCache>
                <c:formatCode>General</c:formatCode>
                <c:ptCount val="2"/>
                <c:pt idx="0">
                  <c:v>37</c:v>
                </c:pt>
                <c:pt idx="1">
                  <c:v>44</c:v>
                </c:pt>
              </c:numCache>
            </c:numRef>
          </c:val>
          <c:smooth val="0"/>
          <c:extLst>
            <c:ext xmlns:c16="http://schemas.microsoft.com/office/drawing/2014/chart" uri="{C3380CC4-5D6E-409C-BE32-E72D297353CC}">
              <c16:uniqueId val="{00000000-60A8-4F6E-8253-52E3179A3403}"/>
            </c:ext>
          </c:extLst>
        </c:ser>
        <c:dLbls>
          <c:dLblPos val="ctr"/>
          <c:showLegendKey val="0"/>
          <c:showVal val="1"/>
          <c:showCatName val="0"/>
          <c:showSerName val="0"/>
          <c:showPercent val="0"/>
          <c:showBubbleSize val="0"/>
        </c:dLbls>
        <c:marker val="1"/>
        <c:smooth val="0"/>
        <c:axId val="539133088"/>
        <c:axId val="325264272"/>
      </c:lineChart>
      <c:catAx>
        <c:axId val="53913308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325264272"/>
        <c:crosses val="autoZero"/>
        <c:auto val="1"/>
        <c:lblAlgn val="ctr"/>
        <c:lblOffset val="100"/>
        <c:noMultiLvlLbl val="0"/>
      </c:catAx>
      <c:valAx>
        <c:axId val="325264272"/>
        <c:scaling>
          <c:orientation val="minMax"/>
        </c:scaling>
        <c:delete val="1"/>
        <c:axPos val="l"/>
        <c:numFmt formatCode="General" sourceLinked="1"/>
        <c:majorTickMark val="none"/>
        <c:minorTickMark val="none"/>
        <c:tickLblPos val="nextTo"/>
        <c:crossAx val="53913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Tables'!$H$16</c:f>
              <c:strCache>
                <c:ptCount val="1"/>
                <c:pt idx="0">
                  <c:v>Inventory Value</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Tables'!$G$17:$G$20</c:f>
              <c:strCache>
                <c:ptCount val="4"/>
                <c:pt idx="0">
                  <c:v>Acer</c:v>
                </c:pt>
                <c:pt idx="1">
                  <c:v>Flipkart</c:v>
                </c:pt>
                <c:pt idx="2">
                  <c:v>Amazon</c:v>
                </c:pt>
                <c:pt idx="3">
                  <c:v>Myntra</c:v>
                </c:pt>
              </c:strCache>
            </c:strRef>
          </c:cat>
          <c:val>
            <c:numRef>
              <c:f>'Pivot Tables'!$H$17:$H$20</c:f>
              <c:numCache>
                <c:formatCode>"₹"\ #,##0</c:formatCode>
                <c:ptCount val="4"/>
                <c:pt idx="0">
                  <c:v>55376055</c:v>
                </c:pt>
                <c:pt idx="1">
                  <c:v>18455013</c:v>
                </c:pt>
                <c:pt idx="2">
                  <c:v>7466622</c:v>
                </c:pt>
                <c:pt idx="3">
                  <c:v>310982</c:v>
                </c:pt>
              </c:numCache>
            </c:numRef>
          </c:val>
          <c:extLst>
            <c:ext xmlns:c16="http://schemas.microsoft.com/office/drawing/2014/chart" uri="{C3380CC4-5D6E-409C-BE32-E72D297353CC}">
              <c16:uniqueId val="{00000000-26D1-4BA4-A2A7-15C327721E83}"/>
            </c:ext>
          </c:extLst>
        </c:ser>
        <c:dLbls>
          <c:dLblPos val="inEnd"/>
          <c:showLegendKey val="0"/>
          <c:showVal val="1"/>
          <c:showCatName val="0"/>
          <c:showSerName val="0"/>
          <c:showPercent val="0"/>
          <c:showBubbleSize val="0"/>
        </c:dLbls>
        <c:gapWidth val="41"/>
        <c:axId val="549004624"/>
        <c:axId val="325166832"/>
      </c:barChart>
      <c:catAx>
        <c:axId val="549004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25166832"/>
        <c:crosses val="autoZero"/>
        <c:auto val="1"/>
        <c:lblAlgn val="ctr"/>
        <c:lblOffset val="100"/>
        <c:noMultiLvlLbl val="0"/>
      </c:catAx>
      <c:valAx>
        <c:axId val="325166832"/>
        <c:scaling>
          <c:orientation val="minMax"/>
        </c:scaling>
        <c:delete val="1"/>
        <c:axPos val="l"/>
        <c:numFmt formatCode="&quot;₹&quot;\ #,##0" sourceLinked="1"/>
        <c:majorTickMark val="none"/>
        <c:minorTickMark val="none"/>
        <c:tickLblPos val="nextTo"/>
        <c:crossAx val="54900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[Portfolio.xlsx]Pivot Tables!PivotTable3</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Tables'!$G$4:$G$10</c:f>
              <c:strCache>
                <c:ptCount val="6"/>
                <c:pt idx="0">
                  <c:v>Romulus</c:v>
                </c:pt>
                <c:pt idx="1">
                  <c:v>Cassian</c:v>
                </c:pt>
                <c:pt idx="2">
                  <c:v>Evander</c:v>
                </c:pt>
                <c:pt idx="3">
                  <c:v>Selene</c:v>
                </c:pt>
                <c:pt idx="4">
                  <c:v>Aurelia</c:v>
                </c:pt>
                <c:pt idx="5">
                  <c:v>Orion</c:v>
                </c:pt>
              </c:strCache>
            </c:strRef>
          </c:cat>
          <c:val>
            <c:numRef>
              <c:f>'Pivot Tables'!$H$4:$H$10</c:f>
              <c:numCache>
                <c:formatCode>"₹"\ #,##0</c:formatCode>
                <c:ptCount val="6"/>
                <c:pt idx="0">
                  <c:v>32906300</c:v>
                </c:pt>
                <c:pt idx="1">
                  <c:v>24908620</c:v>
                </c:pt>
                <c:pt idx="2">
                  <c:v>11469393</c:v>
                </c:pt>
                <c:pt idx="3">
                  <c:v>6553762</c:v>
                </c:pt>
                <c:pt idx="4">
                  <c:v>4964649</c:v>
                </c:pt>
                <c:pt idx="5">
                  <c:v>805948</c:v>
                </c:pt>
              </c:numCache>
            </c:numRef>
          </c:val>
          <c:extLst>
            <c:ext xmlns:c16="http://schemas.microsoft.com/office/drawing/2014/chart" uri="{C3380CC4-5D6E-409C-BE32-E72D297353CC}">
              <c16:uniqueId val="{00000000-3216-4912-826F-6BF05DB9E4CE}"/>
            </c:ext>
          </c:extLst>
        </c:ser>
        <c:dLbls>
          <c:dLblPos val="inEnd"/>
          <c:showLegendKey val="0"/>
          <c:showVal val="1"/>
          <c:showCatName val="0"/>
          <c:showSerName val="0"/>
          <c:showPercent val="0"/>
          <c:showBubbleSize val="0"/>
        </c:dLbls>
        <c:gapWidth val="41"/>
        <c:axId val="758871168"/>
        <c:axId val="2057369648"/>
      </c:barChart>
      <c:catAx>
        <c:axId val="758871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57369648"/>
        <c:crosses val="autoZero"/>
        <c:auto val="1"/>
        <c:lblAlgn val="ctr"/>
        <c:lblOffset val="100"/>
        <c:noMultiLvlLbl val="0"/>
      </c:catAx>
      <c:valAx>
        <c:axId val="2057369648"/>
        <c:scaling>
          <c:orientation val="minMax"/>
        </c:scaling>
        <c:delete val="1"/>
        <c:axPos val="l"/>
        <c:numFmt formatCode="&quot;₹&quot;\ #,##0" sourceLinked="1"/>
        <c:majorTickMark val="none"/>
        <c:minorTickMark val="none"/>
        <c:tickLblPos val="nextTo"/>
        <c:crossAx val="75887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xdr:row>
      <xdr:rowOff>43257</xdr:rowOff>
    </xdr:from>
    <xdr:to>
      <xdr:col>5</xdr:col>
      <xdr:colOff>4000</xdr:colOff>
      <xdr:row>28</xdr:row>
      <xdr:rowOff>53007</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809037</xdr:colOff>
      <xdr:row>13</xdr:row>
      <xdr:rowOff>42098</xdr:rowOff>
    </xdr:from>
    <xdr:to>
      <xdr:col>11</xdr:col>
      <xdr:colOff>809068</xdr:colOff>
      <xdr:row>28</xdr:row>
      <xdr:rowOff>51848</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76199</xdr:rowOff>
    </xdr:from>
    <xdr:to>
      <xdr:col>5</xdr:col>
      <xdr:colOff>31</xdr:colOff>
      <xdr:row>48</xdr:row>
      <xdr:rowOff>85949</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26170</xdr:colOff>
      <xdr:row>33</xdr:row>
      <xdr:rowOff>70042</xdr:rowOff>
    </xdr:from>
    <xdr:to>
      <xdr:col>12</xdr:col>
      <xdr:colOff>26201</xdr:colOff>
      <xdr:row>48</xdr:row>
      <xdr:rowOff>79792</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20077</xdr:colOff>
      <xdr:row>13</xdr:row>
      <xdr:rowOff>49696</xdr:rowOff>
    </xdr:from>
    <xdr:to>
      <xdr:col>19</xdr:col>
      <xdr:colOff>24077</xdr:colOff>
      <xdr:row>28</xdr:row>
      <xdr:rowOff>59446</xdr:rowOff>
    </xdr:to>
    <xdr:graphicFrame macro="">
      <xdr:nvGraphicFramePr>
        <xdr:cNvPr id="6" name="Chart 5">
          <a:extLst>
            <a:ext uri="{FF2B5EF4-FFF2-40B4-BE49-F238E27FC236}">
              <a16:creationId xmlns:a16="http://schemas.microsoft.com/office/drawing/2014/main" id="{573AFB59-1A56-49C3-BE69-0316176B2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805392</xdr:colOff>
      <xdr:row>53</xdr:row>
      <xdr:rowOff>88900</xdr:rowOff>
    </xdr:from>
    <xdr:to>
      <xdr:col>11</xdr:col>
      <xdr:colOff>805424</xdr:colOff>
      <xdr:row>68</xdr:row>
      <xdr:rowOff>98650</xdr:rowOff>
    </xdr:to>
    <xdr:graphicFrame macro="">
      <xdr:nvGraphicFramePr>
        <xdr:cNvPr id="7" name="Chart 6">
          <a:extLst>
            <a:ext uri="{FF2B5EF4-FFF2-40B4-BE49-F238E27FC236}">
              <a16:creationId xmlns:a16="http://schemas.microsoft.com/office/drawing/2014/main" id="{77626975-701F-459E-9B6B-AF08F71BF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6350</xdr:colOff>
      <xdr:row>53</xdr:row>
      <xdr:rowOff>88900</xdr:rowOff>
    </xdr:from>
    <xdr:to>
      <xdr:col>5</xdr:col>
      <xdr:colOff>6381</xdr:colOff>
      <xdr:row>68</xdr:row>
      <xdr:rowOff>98650</xdr:rowOff>
    </xdr:to>
    <xdr:graphicFrame macro="">
      <xdr:nvGraphicFramePr>
        <xdr:cNvPr id="8" name="Chart 7">
          <a:extLst>
            <a:ext uri="{FF2B5EF4-FFF2-40B4-BE49-F238E27FC236}">
              <a16:creationId xmlns:a16="http://schemas.microsoft.com/office/drawing/2014/main" id="{36030E4E-741C-4872-9521-50095DAED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val P" refreshedDate="46248.5844462963" createdVersion="3" refreshedVersion="8" recordCount="6" xr:uid="{00000000-000A-0000-FFFF-FFFF00000000}">
  <cacheSource type="worksheet">
    <worksheetSource ref="A1:J7" sheet="Suitcase Series"/>
  </cacheSource>
  <cacheFields count="10">
    <cacheField name="Series" numFmtId="0">
      <sharedItems count="13">
        <s v="Orion"/>
        <s v="Aurelia"/>
        <s v="Cassian"/>
        <s v="Romulus"/>
        <s v="Evander"/>
        <s v="Selene"/>
        <s v="Ajax" u="1"/>
        <s v="Melbourne" u="1"/>
        <s v="Melbourne Plus" u="1"/>
        <s v="Brisbane" u="1"/>
        <s v="Barcelona" u="1"/>
        <s v="Copenhagen" u="1"/>
        <s v="Predator" u="1"/>
      </sharedItems>
    </cacheField>
    <cacheField name="Acer Stock" numFmtId="0">
      <sharedItems containsSemiMixedTypes="0" containsString="0" containsNumber="1" containsInteger="1" minValue="19" maxValue="1235"/>
    </cacheField>
    <cacheField name="Total Sales Out" numFmtId="0">
      <sharedItems containsSemiMixedTypes="0" containsString="0" containsNumber="1" containsInteger="1" minValue="8" maxValue="53"/>
    </cacheField>
    <cacheField name="Total Inventory" numFmtId="0">
      <sharedItems containsSemiMixedTypes="0" containsString="0" containsNumber="1" containsInteger="1" minValue="52" maxValue="1700"/>
    </cacheField>
    <cacheField name="Flipkart Sales" numFmtId="0">
      <sharedItems containsSemiMixedTypes="0" containsString="0" containsNumber="1" containsInteger="1" minValue="2" maxValue="37"/>
    </cacheField>
    <cacheField name="Amazon Sales" numFmtId="0">
      <sharedItems containsSemiMixedTypes="0" containsString="0" containsNumber="1" containsInteger="1" minValue="0" maxValue="14"/>
    </cacheField>
    <cacheField name="Myntra Sales" numFmtId="0">
      <sharedItems containsSemiMixedTypes="0" containsString="0" containsNumber="1" containsInteger="1" minValue="0" maxValue="5"/>
    </cacheField>
    <cacheField name="Flipkart Stock" numFmtId="0">
      <sharedItems containsSemiMixedTypes="0" containsString="0" containsNumber="1" containsInteger="1" minValue="33" maxValue="295"/>
    </cacheField>
    <cacheField name="Amazon Stock" numFmtId="0">
      <sharedItems containsSemiMixedTypes="0" containsString="0" containsNumber="1" containsInteger="1" minValue="0" maxValue="169"/>
    </cacheField>
    <cacheField name="Myntra Stock" numFmtId="0">
      <sharedItems containsSemiMixedTypes="0" containsString="0" containsNumber="1" containsInteger="1" minValue="0" maxValue="1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val P" refreshedDate="46248.584446643516" createdVersion="8" refreshedVersion="8" minRefreshableVersion="3" recordCount="6" xr:uid="{7DD08363-92C2-47D8-8028-708CA18037E2}">
  <cacheSource type="worksheet">
    <worksheetSource ref="A1:K7" sheet="Suitcase Series"/>
  </cacheSource>
  <cacheFields count="11">
    <cacheField name="Series" numFmtId="0">
      <sharedItems count="13">
        <s v="Orion"/>
        <s v="Aurelia"/>
        <s v="Cassian"/>
        <s v="Romulus"/>
        <s v="Evander"/>
        <s v="Selene"/>
        <s v="Ajax" u="1"/>
        <s v="Melbourne" u="1"/>
        <s v="Melbourne Plus" u="1"/>
        <s v="Brisbane" u="1"/>
        <s v="Barcelona" u="1"/>
        <s v="Copenhagen" u="1"/>
        <s v="Predator" u="1"/>
      </sharedItems>
    </cacheField>
    <cacheField name="Acer Stock" numFmtId="0">
      <sharedItems containsSemiMixedTypes="0" containsString="0" containsNumber="1" containsInteger="1" minValue="19" maxValue="1235"/>
    </cacheField>
    <cacheField name="Total Sales Out" numFmtId="0">
      <sharedItems containsSemiMixedTypes="0" containsString="0" containsNumber="1" containsInteger="1" minValue="8" maxValue="53"/>
    </cacheField>
    <cacheField name="Total Inventory" numFmtId="0">
      <sharedItems containsSemiMixedTypes="0" containsString="0" containsNumber="1" containsInteger="1" minValue="52" maxValue="1700"/>
    </cacheField>
    <cacheField name="Flipkart Sales" numFmtId="0">
      <sharedItems containsSemiMixedTypes="0" containsString="0" containsNumber="1" containsInteger="1" minValue="2" maxValue="37"/>
    </cacheField>
    <cacheField name="Amazon Sales" numFmtId="0">
      <sharedItems containsSemiMixedTypes="0" containsString="0" containsNumber="1" containsInteger="1" minValue="0" maxValue="14"/>
    </cacheField>
    <cacheField name="Myntra Sales" numFmtId="0">
      <sharedItems containsSemiMixedTypes="0" containsString="0" containsNumber="1" containsInteger="1" minValue="0" maxValue="5"/>
    </cacheField>
    <cacheField name="Flipkart Stock" numFmtId="0">
      <sharedItems containsSemiMixedTypes="0" containsString="0" containsNumber="1" containsInteger="1" minValue="33" maxValue="295"/>
    </cacheField>
    <cacheField name="Amazon Stock" numFmtId="0">
      <sharedItems containsSemiMixedTypes="0" containsString="0" containsNumber="1" containsInteger="1" minValue="0" maxValue="169"/>
    </cacheField>
    <cacheField name="Myntra Stock" numFmtId="0">
      <sharedItems containsSemiMixedTypes="0" containsString="0" containsNumber="1" containsInteger="1" minValue="0" maxValue="12"/>
    </cacheField>
    <cacheField name="Inventory Value_x000a_@ MRP" numFmtId="0">
      <sharedItems containsSemiMixedTypes="0" containsString="0" containsNumber="1" containsInteger="1" minValue="805948" maxValue="329063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19"/>
    <n v="22"/>
    <n v="52"/>
    <n v="22"/>
    <n v="0"/>
    <n v="0"/>
    <n v="33"/>
    <n v="0"/>
    <n v="0"/>
  </r>
  <r>
    <x v="1"/>
    <n v="138"/>
    <n v="9"/>
    <n v="351"/>
    <n v="2"/>
    <n v="2"/>
    <n v="5"/>
    <n v="175"/>
    <n v="33"/>
    <n v="5"/>
  </r>
  <r>
    <x v="2"/>
    <n v="1008"/>
    <n v="53"/>
    <n v="1380"/>
    <n v="37"/>
    <n v="13"/>
    <n v="3"/>
    <n v="238"/>
    <n v="122"/>
    <n v="12"/>
  </r>
  <r>
    <x v="3"/>
    <n v="1235"/>
    <n v="41"/>
    <n v="1700"/>
    <n v="23"/>
    <n v="14"/>
    <n v="4"/>
    <n v="295"/>
    <n v="169"/>
    <n v="1"/>
  </r>
  <r>
    <x v="4"/>
    <n v="352"/>
    <n v="13"/>
    <n v="607"/>
    <n v="12"/>
    <n v="1"/>
    <n v="0"/>
    <n v="203"/>
    <n v="52"/>
    <n v="0"/>
  </r>
  <r>
    <x v="5"/>
    <n v="193"/>
    <n v="8"/>
    <n v="238"/>
    <n v="8"/>
    <n v="0"/>
    <n v="0"/>
    <n v="43"/>
    <n v="2"/>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19"/>
    <n v="22"/>
    <n v="52"/>
    <n v="22"/>
    <n v="0"/>
    <n v="0"/>
    <n v="33"/>
    <n v="0"/>
    <n v="0"/>
    <n v="805948"/>
  </r>
  <r>
    <x v="1"/>
    <n v="138"/>
    <n v="9"/>
    <n v="351"/>
    <n v="2"/>
    <n v="2"/>
    <n v="5"/>
    <n v="175"/>
    <n v="33"/>
    <n v="5"/>
    <n v="4964649"/>
  </r>
  <r>
    <x v="2"/>
    <n v="1008"/>
    <n v="53"/>
    <n v="1380"/>
    <n v="37"/>
    <n v="13"/>
    <n v="3"/>
    <n v="238"/>
    <n v="122"/>
    <n v="12"/>
    <n v="24908620"/>
  </r>
  <r>
    <x v="3"/>
    <n v="1235"/>
    <n v="41"/>
    <n v="1700"/>
    <n v="23"/>
    <n v="14"/>
    <n v="4"/>
    <n v="295"/>
    <n v="169"/>
    <n v="1"/>
    <n v="32906300"/>
  </r>
  <r>
    <x v="4"/>
    <n v="352"/>
    <n v="13"/>
    <n v="607"/>
    <n v="12"/>
    <n v="1"/>
    <n v="0"/>
    <n v="203"/>
    <n v="52"/>
    <n v="0"/>
    <n v="11469393"/>
  </r>
  <r>
    <x v="5"/>
    <n v="193"/>
    <n v="8"/>
    <n v="238"/>
    <n v="8"/>
    <n v="0"/>
    <n v="0"/>
    <n v="43"/>
    <n v="2"/>
    <n v="0"/>
    <n v="65537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Sales By Series" cacheId="0" applyNumberFormats="0" applyBorderFormats="0" applyFontFormats="0" applyPatternFormats="0" applyAlignmentFormats="0" applyWidthHeightFormats="0" dataCaption="Values" updatedVersion="8" itemPrintTitles="1" indent="0" outline="1" outlineData="1" multipleFieldFilters="0" chartFormat="13">
  <location ref="A3:B10" firstHeaderRow="1" firstDataRow="1" firstDataCol="1"/>
  <pivotFields count="10">
    <pivotField axis="axisRow" showAll="0" sortType="descending">
      <items count="14">
        <item m="1" x="10"/>
        <item m="1" x="9"/>
        <item m="1" x="11"/>
        <item m="1" x="7"/>
        <item m="1" x="8"/>
        <item m="1" x="12"/>
        <item x="0"/>
        <item x="1"/>
        <item x="2"/>
        <item m="1" x="6"/>
        <item x="4"/>
        <item x="5"/>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s>
  <rowFields count="1">
    <field x="0"/>
  </rowFields>
  <rowItems count="7">
    <i>
      <x v="8"/>
    </i>
    <i>
      <x v="12"/>
    </i>
    <i>
      <x v="6"/>
    </i>
    <i>
      <x v="10"/>
    </i>
    <i>
      <x v="7"/>
    </i>
    <i>
      <x v="11"/>
    </i>
    <i t="grand">
      <x/>
    </i>
  </rowItems>
  <colItems count="1">
    <i/>
  </colItems>
  <dataFields count="1">
    <dataField name="Sales" fld="2" baseField="0" baseItem="0"/>
  </dataFields>
  <formats count="5">
    <format dxfId="4">
      <pivotArea type="all" dataOnly="0" outline="0" fieldPosition="0"/>
    </format>
    <format dxfId="3">
      <pivotArea outline="0" fieldPosition="0"/>
    </format>
    <format dxfId="2">
      <pivotArea field="0" type="button" dataOnly="0" labelOnly="1" outline="0" axis="axisRow" fieldPosition="0"/>
    </format>
    <format dxfId="1">
      <pivotArea dataOnly="0" labelOnly="1" outline="0" axis="axisValues"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0" dataOnRows="1" applyNumberFormats="0" applyBorderFormats="0" applyFontFormats="0" applyPatternFormats="0" applyAlignmentFormats="0" applyWidthHeightFormats="0" dataCaption="Marketplace" updatedVersion="8" itemPrintTitles="1" indent="0" outline="1" outlineData="1" multipleFieldFilters="0" chartFormat="15">
  <location ref="D3:E6" firstHeaderRow="1" firstDataRow="1" firstDataCol="1"/>
  <pivotFields count="10">
    <pivotField showAll="0"/>
    <pivotField showAll="0"/>
    <pivotField showAll="0"/>
    <pivotField showAll="0"/>
    <pivotField dataField="1" showAll="0"/>
    <pivotField dataField="1" showAll="0"/>
    <pivotField dataField="1" showAll="0"/>
    <pivotField showAll="0"/>
    <pivotField showAll="0"/>
    <pivotField showAll="0"/>
  </pivotFields>
  <rowFields count="1">
    <field x="-2"/>
  </rowFields>
  <rowItems count="3">
    <i>
      <x/>
    </i>
    <i i="1">
      <x v="1"/>
    </i>
    <i i="2">
      <x v="2"/>
    </i>
  </rowItems>
  <colItems count="1">
    <i/>
  </colItems>
  <dataFields count="3">
    <dataField name="Flipkart" fld="4" baseField="0" baseItem="0"/>
    <dataField name="Amazon" fld="5" baseField="0" baseItem="0"/>
    <dataField name="Myntra" fld="6" baseField="0" baseItem="0"/>
  </dataFields>
  <formats count="13">
    <format dxfId="17">
      <pivotArea field="-2" type="button" dataOnly="0" labelOnly="1" outline="0" axis="axisRow" fieldPosition="0"/>
    </format>
    <format dxfId="16">
      <pivotArea dataOnly="0" labelOnly="1" grandCol="1" outline="0" axis="axisCol" fieldPosition="0"/>
    </format>
    <format dxfId="15">
      <pivotArea field="-2" type="button" dataOnly="0" labelOnly="1" outline="0" axis="axisRow" fieldPosition="0"/>
    </format>
    <format dxfId="14">
      <pivotArea dataOnly="0" labelOnly="1" grandCol="1" outline="0" axis="axisCol" fieldPosition="0"/>
    </format>
    <format dxfId="13">
      <pivotArea dataOnly="0" outline="0" fieldPosition="0">
        <references count="1">
          <reference field="4294967294" count="3">
            <x v="0"/>
            <x v="1"/>
            <x v="2"/>
          </reference>
        </references>
      </pivotArea>
    </format>
    <format dxfId="12">
      <pivotArea dataOnly="0" outline="0" fieldPosition="0">
        <references count="1">
          <reference field="4294967294" count="3">
            <x v="0"/>
            <x v="1"/>
            <x v="2"/>
          </reference>
        </references>
      </pivotArea>
    </format>
    <format dxfId="11">
      <pivotArea outline="0" fieldPosition="0"/>
    </format>
    <format dxfId="10">
      <pivotArea type="all" dataOnly="0" outline="0" fieldPosition="0"/>
    </format>
    <format dxfId="9">
      <pivotArea outline="0" fieldPosition="0"/>
    </format>
    <format dxfId="8">
      <pivotArea field="-2" type="button" dataOnly="0" labelOnly="1" outline="0" axis="axisRow" fieldPosition="0"/>
    </format>
    <format dxfId="7">
      <pivotArea dataOnly="0" labelOnly="1" grandCol="1" outline="0" axis="axisCol" fieldPosition="0"/>
    </format>
    <format dxfId="6">
      <pivotArea field="-2" type="button" dataOnly="0" labelOnly="1" outline="0" axis="axisRow" fieldPosition="0"/>
    </format>
    <format dxfId="5">
      <pivotArea dataOnly="0" labelOnly="1" grandCol="1" outline="0" axis="axisCol" fieldPosition="0"/>
    </format>
  </formats>
  <chartFormats count="6">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4">
      <pivotArea type="data" outline="0" fieldPosition="0">
        <references count="1">
          <reference field="4294967294" count="1" selected="0">
            <x v="2"/>
          </reference>
        </references>
      </pivotArea>
    </chartFormat>
    <chartFormat chart="0" format="5">
      <pivotArea type="data" outline="0" fieldPosition="0">
        <references count="1">
          <reference field="4294967294" count="1" selected="0">
            <x v="0"/>
          </reference>
        </references>
      </pivotArea>
    </chartFormat>
    <chartFormat chart="0" format="6">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6" cacheId="0" dataOnRows="1" applyNumberFormats="0" applyBorderFormats="0" applyFontFormats="0" applyPatternFormats="0" applyAlignmentFormats="0" applyWidthHeightFormats="0" dataCaption="Values" updatedVersion="8" itemPrintTitles="1" indent="0" outline="1" outlineData="1" multipleFieldFilters="0" chartFormat="8">
  <location ref="D16:E19" firstHeaderRow="1" firstDataRow="1" firstDataCol="1"/>
  <pivotFields count="10">
    <pivotField showAll="0"/>
    <pivotField showAll="0"/>
    <pivotField showAll="0"/>
    <pivotField showAll="0"/>
    <pivotField showAll="0"/>
    <pivotField showAll="0"/>
    <pivotField showAll="0"/>
    <pivotField dataField="1" showAll="0"/>
    <pivotField dataField="1" showAll="0"/>
    <pivotField dataField="1" showAll="0"/>
  </pivotFields>
  <rowFields count="1">
    <field x="-2"/>
  </rowFields>
  <rowItems count="3">
    <i>
      <x/>
    </i>
    <i i="1">
      <x v="1"/>
    </i>
    <i i="2">
      <x v="2"/>
    </i>
  </rowItems>
  <colItems count="1">
    <i/>
  </colItems>
  <dataFields count="3">
    <dataField name="Flipkart" fld="7" baseField="0" baseItem="0"/>
    <dataField name="Amazon" fld="8" baseField="0" baseItem="0"/>
    <dataField name="Myntra" fld="9" baseField="0" baseItem="0"/>
  </dataFields>
  <formats count="4">
    <format dxfId="21">
      <pivotArea type="all" dataOnly="0" outline="0" fieldPosition="0"/>
    </format>
    <format dxfId="20">
      <pivotArea outline="0" fieldPosition="0"/>
    </format>
    <format dxfId="19">
      <pivotArea field="-2" type="button" dataOnly="0" labelOnly="1" outline="0" axis="axisRow" fieldPosition="0"/>
    </format>
    <format dxfId="18">
      <pivotArea dataOnly="0" labelOnly="1" grandCol="1" outline="0" axis="axisCol" fieldPosition="0"/>
    </format>
  </format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1">
          <reference field="4294967294" count="1" selected="0">
            <x v="0"/>
          </reference>
        </references>
      </pivotArea>
    </chartFormat>
    <chartFormat chart="3" format="7">
      <pivotArea type="data" outline="0" fieldPosition="0">
        <references count="1">
          <reference field="4294967294" count="1" selected="0">
            <x v="1"/>
          </reference>
        </references>
      </pivotArea>
    </chartFormat>
    <chartFormat chart="3" format="8">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99AB92-9F2D-4BBA-9F58-33F46144423A}" name="PivotTable3" cacheId="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1">
  <location ref="G3:H10" firstHeaderRow="1" firstDataRow="1" firstDataCol="1"/>
  <pivotFields count="11">
    <pivotField axis="axisRow" showAll="0" sortType="descending">
      <items count="14">
        <item m="1" x="12"/>
        <item m="1" x="8"/>
        <item m="1" x="7"/>
        <item m="1" x="11"/>
        <item m="1" x="9"/>
        <item m="1" x="10"/>
        <item x="0"/>
        <item x="1"/>
        <item x="2"/>
        <item m="1" x="6"/>
        <item x="4"/>
        <item x="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s>
  <rowFields count="1">
    <field x="0"/>
  </rowFields>
  <rowItems count="7">
    <i>
      <x v="12"/>
    </i>
    <i>
      <x v="8"/>
    </i>
    <i>
      <x v="10"/>
    </i>
    <i>
      <x v="11"/>
    </i>
    <i>
      <x v="7"/>
    </i>
    <i>
      <x v="6"/>
    </i>
    <i t="grand">
      <x/>
    </i>
  </rowItems>
  <colItems count="1">
    <i/>
  </colItems>
  <dataFields count="1">
    <dataField name="Inventory Value" fld="10" baseField="0" baseItem="0"/>
  </dataFields>
  <formats count="5">
    <format dxfId="26">
      <pivotArea dataOnly="0" fieldPosition="0">
        <references count="1">
          <reference field="0" count="0"/>
        </references>
      </pivotArea>
    </format>
    <format dxfId="25">
      <pivotArea outline="0" collapsedLevelsAreSubtotals="1" fieldPosition="0"/>
    </format>
    <format dxfId="24">
      <pivotArea dataOnly="0" labelOnly="1" fieldPosition="0">
        <references count="1">
          <reference field="0" count="0"/>
        </references>
      </pivotArea>
    </format>
    <format dxfId="23">
      <pivotArea dataOnly="0" labelOnly="1" grandRow="1" outline="0" fieldPosition="0"/>
    </format>
    <format dxfId="22">
      <pivotArea dataOnly="0" labelOnly="1" outline="0" axis="axisValues"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4" cacheId="0" applyNumberFormats="0" applyBorderFormats="0" applyFontFormats="0" applyPatternFormats="0" applyAlignmentFormats="0" applyWidthHeightFormats="0" dataCaption="Values" updatedVersion="8" itemPrintTitles="1" indent="0" outline="1" outlineData="1" multipleFieldFilters="0" chartFormat="47">
  <location ref="A16:B23" firstHeaderRow="1" firstDataRow="1" firstDataCol="1"/>
  <pivotFields count="10">
    <pivotField axis="axisRow" showAll="0" sortType="descending">
      <items count="14">
        <item m="1" x="10"/>
        <item m="1" x="9"/>
        <item m="1" x="11"/>
        <item m="1" x="7"/>
        <item m="1" x="8"/>
        <item m="1" x="12"/>
        <item x="0"/>
        <item x="1"/>
        <item x="2"/>
        <item m="1" x="6"/>
        <item x="4"/>
        <item x="5"/>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s>
  <rowFields count="1">
    <field x="0"/>
  </rowFields>
  <rowItems count="7">
    <i>
      <x v="12"/>
    </i>
    <i>
      <x v="8"/>
    </i>
    <i>
      <x v="10"/>
    </i>
    <i>
      <x v="7"/>
    </i>
    <i>
      <x v="11"/>
    </i>
    <i>
      <x v="6"/>
    </i>
    <i t="grand">
      <x/>
    </i>
  </rowItems>
  <colItems count="1">
    <i/>
  </colItems>
  <dataFields count="1">
    <dataField name="Inventory" fld="3" baseField="0" baseItem="0"/>
  </dataFields>
  <formats count="7">
    <format dxfId="33">
      <pivotArea type="all" dataOnly="0" outline="0" fieldPosition="0"/>
    </format>
    <format dxfId="32">
      <pivotArea field="0" type="button" dataOnly="0" labelOnly="1" outline="0" axis="axisRow" fieldPosition="0"/>
    </format>
    <format dxfId="31">
      <pivotArea type="all" dataOnly="0" outline="0" fieldPosition="0"/>
    </format>
    <format dxfId="30">
      <pivotArea outline="0" fieldPosition="0"/>
    </format>
    <format dxfId="29">
      <pivotArea field="0" type="button" dataOnly="0" labelOnly="1" outline="0" axis="axisRow" fieldPosition="0"/>
    </format>
    <format dxfId="28">
      <pivotArea dataOnly="0" labelOnly="1" outline="0" axis="axisValues" fieldPosition="0"/>
    </format>
    <format dxfId="2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roductMaster" displayName="tblProductMaster" ref="A1:M47" totalsRowShown="0" headerRowDxfId="69" dataDxfId="68">
  <autoFilter ref="A1:M47" xr:uid="{00000000-0009-0000-0100-000001000000}"/>
  <tableColumns count="13">
    <tableColumn id="1" xr3:uid="{00000000-0010-0000-0000-000001000000}" name="Series" dataDxfId="67"/>
    <tableColumn id="2" xr3:uid="{00000000-0010-0000-0000-000002000000}" name="Product Name" dataDxfId="66"/>
    <tableColumn id="3" xr3:uid="{00000000-0010-0000-0000-000003000000}" name="Part Number" dataDxfId="65"/>
    <tableColumn id="4" xr3:uid="{00000000-0010-0000-0000-000004000000}" name="FSN" dataDxfId="64"/>
    <tableColumn id="5" xr3:uid="{00000000-0010-0000-0000-000005000000}" name="ASIN" dataDxfId="63"/>
    <tableColumn id="6" xr3:uid="{00000000-0010-0000-0000-000006000000}" name="Myntra SKU Code" dataDxfId="62"/>
    <tableColumn id="7" xr3:uid="{00000000-0010-0000-0000-000007000000}" name="MRP" dataDxfId="61"/>
    <tableColumn id="8" xr3:uid="{00000000-0010-0000-0000-000008000000}" name="Size" dataDxfId="60"/>
    <tableColumn id="9" xr3:uid="{00000000-0010-0000-0000-000009000000}" name="Colour" dataDxfId="59"/>
    <tableColumn id="10" xr3:uid="{00000000-0010-0000-0000-00000A000000}" name="Material" dataDxfId="58"/>
    <tableColumn id="11" xr3:uid="{00000000-0010-0000-0000-00000B000000}" name="Opening Type" dataDxfId="57"/>
    <tableColumn id="12" xr3:uid="{00000000-0010-0000-0000-00000C000000}" name="Expandable" dataDxfId="56"/>
    <tableColumn id="13" xr3:uid="{00000000-0010-0000-0000-00000D000000}" name="Notes" dataDxfId="5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WeeklyInsights" displayName="tblWeeklyInsights" ref="A1:S47" totalsRowShown="0" headerRowDxfId="54" dataDxfId="53">
  <autoFilter ref="A1:S47" xr:uid="{00000000-0009-0000-0100-000002000000}"/>
  <tableColumns count="19">
    <tableColumn id="1" xr3:uid="{00000000-0010-0000-0100-000001000000}" name="Series" dataDxfId="52"/>
    <tableColumn id="2" xr3:uid="{00000000-0010-0000-0100-000002000000}" name="Product" dataDxfId="51"/>
    <tableColumn id="3" xr3:uid="{00000000-0010-0000-0100-000003000000}" name="Part Number" dataDxfId="50"/>
    <tableColumn id="4" xr3:uid="{00000000-0010-0000-0100-000004000000}" name="FSN" dataDxfId="49"/>
    <tableColumn id="5" xr3:uid="{00000000-0010-0000-0100-000005000000}" name="ASIN" dataDxfId="48"/>
    <tableColumn id="6" xr3:uid="{00000000-0010-0000-0100-000006000000}" name="Myntra SKU Code" dataDxfId="47"/>
    <tableColumn id="7" xr3:uid="{00000000-0010-0000-0100-000007000000}" name="Acer Stock" totalsRowFunction="sum" dataDxfId="46"/>
    <tableColumn id="8" xr3:uid="{00000000-0010-0000-0100-000008000000}" name="Flipkart Stock" totalsRowFunction="sum" dataDxfId="45"/>
    <tableColumn id="9" xr3:uid="{00000000-0010-0000-0100-000009000000}" name="Amazon Stock" totalsRowFunction="sum" dataDxfId="44"/>
    <tableColumn id="10" xr3:uid="{00000000-0010-0000-0100-00000A000000}" name="Myntra Stock" totalsRowFunction="sum" dataDxfId="43"/>
    <tableColumn id="11" xr3:uid="{00000000-0010-0000-0100-00000B000000}" name="Flipkart Sales_x000a_Jul" totalsRowFunction="sum" dataDxfId="42"/>
    <tableColumn id="12" xr3:uid="{00000000-0010-0000-0100-00000C000000}" name="Flipkart Sales_x000a_Jun" totalsRowFunction="sum" dataDxfId="41"/>
    <tableColumn id="13" xr3:uid="{00000000-0010-0000-0100-00000D000000}" name="Amazon Sales_x000a_(Latest Report)" totalsRowFunction="sum" dataDxfId="40"/>
    <tableColumn id="14" xr3:uid="{00000000-0010-0000-0100-00000E000000}" name="Myntra Sales (Latest Report)" totalsRowFunction="sum" dataDxfId="39"/>
    <tableColumn id="15" xr3:uid="{00000000-0010-0000-0100-00000F000000}" name="Flipkart Sales_x000a_(Till Date)" totalsRowFunction="sum" dataDxfId="38"/>
    <tableColumn id="16" xr3:uid="{00000000-0010-0000-0100-000010000000}" name="Amazon Sales_x000a_(Till Date)" totalsRowFunction="sum" dataDxfId="37"/>
    <tableColumn id="17" xr3:uid="{00000000-0010-0000-0100-000011000000}" name="Myntra Sales_x000a_(Till Date)" totalsRowFunction="sum" dataDxfId="36"/>
    <tableColumn id="18" xr3:uid="{00000000-0010-0000-0100-000012000000}" name="Total Inventory" totalsRowFunction="sum" dataDxfId="35"/>
    <tableColumn id="19" xr3:uid="{00000000-0010-0000-0100-000013000000}" name="Total Sales Out" totalsRowFunction="sum" dataDxfId="3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SuitcaseSeries" displayName="tblSuitcaseSeries" ref="A1:K7" totalsRowShown="0" headerRowDxfId="93" dataDxfId="92">
  <tableColumns count="11">
    <tableColumn id="11" xr3:uid="{C61BE668-B853-4DE3-99E1-A7787A8B234A}" name="Series" dataDxfId="91" totalsRowDxfId="90"/>
    <tableColumn id="2" xr3:uid="{00000000-0010-0000-0200-000002000000}" name="Acer Stock" dataDxfId="89" totalsRowDxfId="88"/>
    <tableColumn id="3" xr3:uid="{00000000-0010-0000-0200-000003000000}" name="Total Sales Out" dataDxfId="87" totalsRowDxfId="86"/>
    <tableColumn id="4" xr3:uid="{00000000-0010-0000-0200-000004000000}" name="Total Inventory" dataDxfId="85" totalsRowDxfId="84"/>
    <tableColumn id="5" xr3:uid="{00000000-0010-0000-0200-000005000000}" name="Flipkart Sales" dataDxfId="83" totalsRowDxfId="82"/>
    <tableColumn id="6" xr3:uid="{00000000-0010-0000-0200-000006000000}" name="Amazon Sales" dataDxfId="81" totalsRowDxfId="80"/>
    <tableColumn id="7" xr3:uid="{00000000-0010-0000-0200-000007000000}" name="Myntra Sales" dataDxfId="79" totalsRowDxfId="78"/>
    <tableColumn id="8" xr3:uid="{00000000-0010-0000-0200-000008000000}" name="Flipkart Stock" dataDxfId="77" totalsRowDxfId="76"/>
    <tableColumn id="9" xr3:uid="{00000000-0010-0000-0200-000009000000}" name="Amazon Stock" dataDxfId="75" totalsRowDxfId="74"/>
    <tableColumn id="10" xr3:uid="{00000000-0010-0000-0200-00000A000000}" name="Myntra Stock" dataDxfId="73" totalsRowDxfId="72"/>
    <tableColumn id="1" xr3:uid="{00000000-0010-0000-0200-000001000000}" name="Inventory Value_x000a_@ MRP" dataDxfId="71" totalsRowDxfId="70">
      <calculatedColumnFormula array="1">SUMPRODUCT(('Product Master'!$A$2:$A$47=A2)*'Product Master'!$G$2:$G$47*_xlfn.XLOOKUP('Product Master'!$C$2:$C$47,'Weekly Insights'!$C$2:$C$46,'Weekly Insights'!$R$2:$R$46,0))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2"/>
  <sheetViews>
    <sheetView showGridLines="0" tabSelected="1" topLeftCell="A61" zoomScaleNormal="100" workbookViewId="0">
      <selection activeCell="A75" sqref="A75:O75"/>
    </sheetView>
  </sheetViews>
  <sheetFormatPr defaultColWidth="10" defaultRowHeight="14.5" x14ac:dyDescent="0.35"/>
  <cols>
    <col min="1" max="22" width="11.6328125" style="3" customWidth="1"/>
    <col min="23" max="16384" width="10" style="3"/>
  </cols>
  <sheetData>
    <row r="1" spans="1:19" ht="27.75" customHeight="1" x14ac:dyDescent="0.35">
      <c r="A1" s="48" t="s">
        <v>52</v>
      </c>
      <c r="B1" s="45"/>
      <c r="C1" s="45"/>
      <c r="D1" s="45"/>
      <c r="E1" s="45"/>
      <c r="F1" s="45"/>
      <c r="G1" s="45"/>
      <c r="H1" s="45"/>
      <c r="I1" s="45"/>
      <c r="J1" s="45"/>
      <c r="K1" s="45"/>
      <c r="L1" s="45"/>
    </row>
    <row r="2" spans="1:19" ht="27.75" customHeight="1" x14ac:dyDescent="0.35">
      <c r="A2" s="45"/>
      <c r="B2" s="45"/>
      <c r="C2" s="45"/>
      <c r="D2" s="45"/>
      <c r="E2" s="45"/>
      <c r="F2" s="45"/>
      <c r="G2" s="45"/>
      <c r="H2" s="45"/>
      <c r="I2" s="45"/>
      <c r="J2" s="45"/>
      <c r="K2" s="45"/>
      <c r="L2" s="45"/>
    </row>
    <row r="3" spans="1:19" ht="19.5" customHeight="1" x14ac:dyDescent="0.35">
      <c r="A3" s="60" t="s">
        <v>53</v>
      </c>
      <c r="B3" s="45"/>
      <c r="C3" s="45"/>
      <c r="D3" s="45"/>
      <c r="E3" s="45"/>
      <c r="F3" s="45"/>
      <c r="G3" s="45"/>
      <c r="H3" s="45"/>
      <c r="I3" s="45"/>
      <c r="J3" s="45"/>
      <c r="K3" s="45"/>
      <c r="L3" s="45"/>
    </row>
    <row r="4" spans="1:19" ht="15" thickBot="1" x14ac:dyDescent="0.4">
      <c r="A4" s="17"/>
      <c r="B4" s="17"/>
      <c r="C4" s="17"/>
      <c r="D4" s="17"/>
      <c r="E4" s="17"/>
      <c r="F4" s="17"/>
      <c r="G4" s="17"/>
      <c r="H4" s="17"/>
      <c r="I4" s="17"/>
      <c r="J4" s="17"/>
      <c r="K4" s="17"/>
      <c r="L4" s="17"/>
    </row>
    <row r="5" spans="1:19" s="19" customFormat="1" ht="19.5" customHeight="1" x14ac:dyDescent="0.45">
      <c r="A5" s="62" t="s">
        <v>54</v>
      </c>
      <c r="B5" s="63"/>
      <c r="C5" s="64"/>
      <c r="D5" s="62" t="s">
        <v>55</v>
      </c>
      <c r="E5" s="63"/>
      <c r="F5" s="64"/>
      <c r="G5" s="62" t="s">
        <v>56</v>
      </c>
      <c r="H5" s="63"/>
      <c r="I5" s="64"/>
      <c r="J5" s="57" t="s">
        <v>57</v>
      </c>
      <c r="K5" s="58"/>
      <c r="L5" s="59"/>
    </row>
    <row r="6" spans="1:19" s="19" customFormat="1" ht="19.5" customHeight="1" thickBot="1" x14ac:dyDescent="0.5">
      <c r="A6" s="65">
        <f>SUM(tblSuitcaseSeries[Total Sales Out])</f>
        <v>146</v>
      </c>
      <c r="B6" s="66"/>
      <c r="C6" s="67"/>
      <c r="D6" s="65">
        <f>SUM(tblSuitcaseSeries[Total Inventory])</f>
        <v>4328</v>
      </c>
      <c r="E6" s="66"/>
      <c r="F6" s="67"/>
      <c r="G6" s="65">
        <f>SUM(tblSuitcaseSeries[Acer Stock])</f>
        <v>2945</v>
      </c>
      <c r="H6" s="66"/>
      <c r="I6" s="67"/>
      <c r="J6" s="50" t="s">
        <v>58</v>
      </c>
      <c r="K6" s="51"/>
      <c r="L6" s="52"/>
    </row>
    <row r="7" spans="1:19" s="19" customFormat="1" ht="19.5" customHeight="1" thickTop="1" thickBot="1" x14ac:dyDescent="0.5">
      <c r="A7" s="68"/>
      <c r="B7" s="69"/>
      <c r="C7" s="70"/>
      <c r="D7" s="68"/>
      <c r="E7" s="69"/>
      <c r="F7" s="70"/>
      <c r="G7" s="68"/>
      <c r="H7" s="69"/>
      <c r="I7" s="70"/>
      <c r="J7" s="53"/>
      <c r="K7" s="54"/>
      <c r="L7" s="55"/>
    </row>
    <row r="8" spans="1:19" s="19" customFormat="1" ht="19" thickBot="1" x14ac:dyDescent="0.5">
      <c r="A8" s="18"/>
      <c r="B8" s="18"/>
      <c r="C8" s="18"/>
      <c r="D8" s="18"/>
      <c r="E8" s="18"/>
      <c r="F8" s="18"/>
      <c r="G8" s="18"/>
      <c r="H8" s="18"/>
      <c r="I8" s="18"/>
      <c r="J8" s="18"/>
      <c r="K8" s="18"/>
      <c r="L8" s="18"/>
    </row>
    <row r="9" spans="1:19" s="19" customFormat="1" ht="19.5" customHeight="1" x14ac:dyDescent="0.45">
      <c r="A9" s="62" t="s">
        <v>59</v>
      </c>
      <c r="B9" s="63"/>
      <c r="C9" s="64"/>
      <c r="D9" s="62" t="s">
        <v>155</v>
      </c>
      <c r="E9" s="63"/>
      <c r="F9" s="64"/>
      <c r="G9" s="62" t="s">
        <v>153</v>
      </c>
      <c r="H9" s="63"/>
      <c r="I9" s="64"/>
      <c r="J9" s="62" t="s">
        <v>154</v>
      </c>
      <c r="K9" s="63"/>
      <c r="L9" s="64"/>
    </row>
    <row r="10" spans="1:19" s="19" customFormat="1" ht="18.5" x14ac:dyDescent="0.45">
      <c r="A10" s="72" t="str">
        <f>'Pivot Tables'!A4&amp;" - "&amp;'Pivot Tables'!B4&amp;" units"</f>
        <v>Cassian - 53 units</v>
      </c>
      <c r="B10" s="73"/>
      <c r="C10" s="74"/>
      <c r="D10" s="72" t="str">
        <f>'Pivot Tables'!A17&amp;" - "&amp;'Pivot Tables'!B17&amp;" units"</f>
        <v>Romulus - 1700 units</v>
      </c>
      <c r="E10" s="73"/>
      <c r="F10" s="74"/>
      <c r="G10" s="78">
        <f>'Pivot Tables'!H10</f>
        <v>81608672</v>
      </c>
      <c r="H10" s="79"/>
      <c r="I10" s="80"/>
      <c r="J10" s="78" t="str">
        <f>'Pivot Tables'!G4&amp;" - ₹ "&amp;TEXT('Pivot Tables'!H4,"#,##,##0")</f>
        <v>Romulus - ₹ 3,29,06,300</v>
      </c>
      <c r="K10" s="79"/>
      <c r="L10" s="80"/>
    </row>
    <row r="11" spans="1:19" s="19" customFormat="1" ht="19" thickBot="1" x14ac:dyDescent="0.5">
      <c r="A11" s="75"/>
      <c r="B11" s="76"/>
      <c r="C11" s="77"/>
      <c r="D11" s="75"/>
      <c r="E11" s="76"/>
      <c r="F11" s="77"/>
      <c r="G11" s="81"/>
      <c r="H11" s="82"/>
      <c r="I11" s="83"/>
      <c r="J11" s="81"/>
      <c r="K11" s="82"/>
      <c r="L11" s="83"/>
    </row>
    <row r="12" spans="1:19" x14ac:dyDescent="0.35">
      <c r="A12" s="17"/>
      <c r="B12" s="17"/>
      <c r="C12" s="17"/>
      <c r="D12" s="17"/>
      <c r="E12" s="17"/>
      <c r="F12" s="17"/>
      <c r="G12" s="17"/>
      <c r="H12" s="17"/>
      <c r="I12" s="17"/>
      <c r="J12" s="17"/>
      <c r="K12" s="17"/>
      <c r="L12" s="17"/>
    </row>
    <row r="13" spans="1:19" x14ac:dyDescent="0.35">
      <c r="A13" s="56" t="s">
        <v>60</v>
      </c>
      <c r="B13" s="56"/>
      <c r="C13" s="56"/>
      <c r="D13" s="56"/>
      <c r="E13" s="56"/>
      <c r="G13" s="17"/>
      <c r="H13" s="56" t="s">
        <v>61</v>
      </c>
      <c r="I13" s="56"/>
      <c r="J13" s="56"/>
      <c r="K13" s="56"/>
      <c r="L13" s="56"/>
      <c r="N13" s="43"/>
      <c r="O13" s="71" t="s">
        <v>145</v>
      </c>
      <c r="P13" s="71"/>
      <c r="Q13" s="71"/>
      <c r="R13" s="71"/>
      <c r="S13" s="71"/>
    </row>
    <row r="14" spans="1:19" s="17" customFormat="1" x14ac:dyDescent="0.35"/>
    <row r="15" spans="1:19" s="17" customFormat="1" x14ac:dyDescent="0.35"/>
    <row r="16" spans="1:19" s="17" customFormat="1" x14ac:dyDescent="0.35"/>
    <row r="17" spans="1:12" s="17" customFormat="1" x14ac:dyDescent="0.35"/>
    <row r="18" spans="1:12" s="17" customFormat="1" x14ac:dyDescent="0.35"/>
    <row r="19" spans="1:12" s="17" customFormat="1" x14ac:dyDescent="0.35"/>
    <row r="20" spans="1:12" s="17" customFormat="1" x14ac:dyDescent="0.35"/>
    <row r="21" spans="1:12" s="17" customFormat="1" x14ac:dyDescent="0.35"/>
    <row r="22" spans="1:12" s="17" customFormat="1" x14ac:dyDescent="0.35"/>
    <row r="23" spans="1:12" s="17" customFormat="1" x14ac:dyDescent="0.35"/>
    <row r="24" spans="1:12" s="17" customFormat="1" x14ac:dyDescent="0.35"/>
    <row r="25" spans="1:12" s="17" customFormat="1" x14ac:dyDescent="0.35"/>
    <row r="26" spans="1:12" s="17" customFormat="1" x14ac:dyDescent="0.35"/>
    <row r="27" spans="1:12" s="17" customFormat="1" x14ac:dyDescent="0.35"/>
    <row r="28" spans="1:12" s="17" customFormat="1" x14ac:dyDescent="0.35"/>
    <row r="29" spans="1:12" s="17" customFormat="1" x14ac:dyDescent="0.35"/>
    <row r="30" spans="1:12" x14ac:dyDescent="0.35">
      <c r="A30" s="17"/>
      <c r="B30" s="17"/>
      <c r="C30" s="17"/>
      <c r="D30" s="17"/>
      <c r="E30" s="17"/>
      <c r="F30" s="17"/>
      <c r="G30" s="17"/>
      <c r="H30" s="17"/>
      <c r="I30" s="17"/>
      <c r="J30" s="17"/>
      <c r="K30" s="17"/>
      <c r="L30" s="17"/>
    </row>
    <row r="31" spans="1:12" x14ac:dyDescent="0.35">
      <c r="A31" s="17"/>
      <c r="B31" s="17"/>
      <c r="C31" s="17"/>
      <c r="D31" s="17"/>
      <c r="E31" s="17"/>
      <c r="F31" s="17"/>
      <c r="G31" s="17"/>
      <c r="H31" s="17"/>
      <c r="I31" s="17"/>
      <c r="J31" s="17"/>
      <c r="K31" s="17"/>
      <c r="L31" s="17"/>
    </row>
    <row r="32" spans="1:12" x14ac:dyDescent="0.35">
      <c r="A32" s="17"/>
      <c r="B32" s="17"/>
      <c r="C32" s="17"/>
      <c r="D32" s="17"/>
      <c r="E32" s="17"/>
      <c r="F32" s="17"/>
      <c r="G32" s="17"/>
      <c r="H32" s="17"/>
      <c r="I32" s="17"/>
      <c r="J32" s="17"/>
      <c r="K32" s="17"/>
      <c r="L32" s="17"/>
    </row>
    <row r="33" spans="1:12" x14ac:dyDescent="0.35">
      <c r="A33" s="56" t="s">
        <v>62</v>
      </c>
      <c r="B33" s="56"/>
      <c r="C33" s="56"/>
      <c r="D33" s="56"/>
      <c r="E33" s="56"/>
      <c r="G33" s="17"/>
      <c r="H33" s="56" t="s">
        <v>63</v>
      </c>
      <c r="I33" s="56"/>
      <c r="J33" s="56"/>
      <c r="K33" s="56"/>
      <c r="L33" s="56"/>
    </row>
    <row r="34" spans="1:12" x14ac:dyDescent="0.35">
      <c r="A34" s="61"/>
      <c r="B34" s="45"/>
      <c r="C34" s="45"/>
      <c r="D34" s="45"/>
      <c r="E34" s="45"/>
      <c r="F34" s="45"/>
      <c r="G34" s="17"/>
      <c r="H34" s="17"/>
    </row>
    <row r="35" spans="1:12" x14ac:dyDescent="0.35">
      <c r="A35" s="45"/>
      <c r="B35" s="45"/>
      <c r="C35" s="45"/>
      <c r="D35" s="45"/>
      <c r="E35" s="45"/>
      <c r="F35" s="45"/>
      <c r="G35" s="17"/>
    </row>
    <row r="36" spans="1:12" x14ac:dyDescent="0.35">
      <c r="A36" s="45"/>
      <c r="B36" s="45"/>
      <c r="C36" s="45"/>
      <c r="D36" s="45"/>
      <c r="E36" s="45"/>
      <c r="F36" s="45"/>
      <c r="G36" s="17"/>
    </row>
    <row r="37" spans="1:12" x14ac:dyDescent="0.35">
      <c r="A37" s="45"/>
      <c r="B37" s="45"/>
      <c r="C37" s="45"/>
      <c r="D37" s="45"/>
      <c r="E37" s="45"/>
      <c r="F37" s="45"/>
      <c r="G37" s="17"/>
    </row>
    <row r="38" spans="1:12" x14ac:dyDescent="0.35">
      <c r="A38" s="45"/>
      <c r="B38" s="45"/>
      <c r="C38" s="45"/>
      <c r="D38" s="45"/>
      <c r="E38" s="45"/>
      <c r="F38" s="45"/>
      <c r="G38" s="17"/>
    </row>
    <row r="39" spans="1:12" x14ac:dyDescent="0.35">
      <c r="A39" s="45"/>
      <c r="B39" s="45"/>
      <c r="C39" s="45"/>
      <c r="D39" s="45"/>
      <c r="E39" s="45"/>
      <c r="F39" s="45"/>
      <c r="G39" s="17"/>
    </row>
    <row r="40" spans="1:12" x14ac:dyDescent="0.35">
      <c r="A40" s="45"/>
      <c r="B40" s="45"/>
      <c r="C40" s="45"/>
      <c r="D40" s="45"/>
      <c r="E40" s="45"/>
      <c r="F40" s="45"/>
      <c r="G40" s="17"/>
    </row>
    <row r="41" spans="1:12" x14ac:dyDescent="0.35">
      <c r="A41" s="45"/>
      <c r="B41" s="45"/>
      <c r="C41" s="45"/>
      <c r="D41" s="45"/>
      <c r="E41" s="45"/>
      <c r="F41" s="45"/>
      <c r="G41" s="17"/>
    </row>
    <row r="42" spans="1:12" x14ac:dyDescent="0.35">
      <c r="A42" s="45"/>
      <c r="B42" s="45"/>
      <c r="C42" s="45"/>
      <c r="D42" s="45"/>
      <c r="E42" s="45"/>
      <c r="F42" s="45"/>
      <c r="G42" s="17"/>
    </row>
    <row r="43" spans="1:12" x14ac:dyDescent="0.35">
      <c r="A43" s="45"/>
      <c r="B43" s="45"/>
      <c r="C43" s="45"/>
      <c r="D43" s="45"/>
      <c r="E43" s="45"/>
      <c r="F43" s="45"/>
      <c r="G43" s="17"/>
    </row>
    <row r="44" spans="1:12" x14ac:dyDescent="0.35">
      <c r="A44" s="45"/>
      <c r="B44" s="45"/>
      <c r="C44" s="45"/>
      <c r="D44" s="45"/>
      <c r="E44" s="45"/>
      <c r="F44" s="45"/>
      <c r="G44" s="17"/>
    </row>
    <row r="45" spans="1:12" x14ac:dyDescent="0.35">
      <c r="A45" s="45"/>
      <c r="B45" s="45"/>
      <c r="C45" s="45"/>
      <c r="D45" s="45"/>
      <c r="E45" s="45"/>
      <c r="F45" s="45"/>
      <c r="G45" s="17"/>
    </row>
    <row r="46" spans="1:12" x14ac:dyDescent="0.35">
      <c r="A46" s="45"/>
      <c r="B46" s="45"/>
      <c r="C46" s="45"/>
      <c r="D46" s="45"/>
      <c r="E46" s="45"/>
      <c r="F46" s="45"/>
      <c r="G46" s="17"/>
    </row>
    <row r="47" spans="1:12" x14ac:dyDescent="0.35">
      <c r="A47" s="45"/>
      <c r="B47" s="45"/>
      <c r="C47" s="45"/>
      <c r="D47" s="45"/>
      <c r="E47" s="45"/>
      <c r="F47" s="45"/>
      <c r="G47" s="17"/>
    </row>
    <row r="48" spans="1:12" x14ac:dyDescent="0.35">
      <c r="A48" s="45"/>
      <c r="B48" s="45"/>
      <c r="C48" s="45"/>
      <c r="D48" s="45"/>
      <c r="E48" s="45"/>
      <c r="F48" s="45"/>
      <c r="G48" s="17"/>
    </row>
    <row r="49" spans="1:12" x14ac:dyDescent="0.35">
      <c r="A49" s="17"/>
      <c r="B49" s="17"/>
      <c r="C49" s="17"/>
      <c r="D49" s="17"/>
      <c r="E49" s="17"/>
      <c r="F49" s="17"/>
      <c r="G49" s="17"/>
      <c r="H49" s="17"/>
      <c r="I49" s="17"/>
      <c r="J49" s="17"/>
      <c r="K49" s="17"/>
      <c r="L49" s="17"/>
    </row>
    <row r="50" spans="1:12" x14ac:dyDescent="0.35">
      <c r="A50" s="17"/>
      <c r="B50" s="17"/>
      <c r="C50" s="17"/>
      <c r="D50" s="17"/>
      <c r="E50" s="17"/>
      <c r="F50" s="17"/>
      <c r="G50" s="17"/>
      <c r="H50" s="17"/>
      <c r="I50" s="17"/>
      <c r="J50" s="17"/>
      <c r="K50" s="17"/>
      <c r="L50" s="17"/>
    </row>
    <row r="51" spans="1:12" x14ac:dyDescent="0.35">
      <c r="A51" s="17"/>
      <c r="B51" s="17"/>
      <c r="C51" s="17"/>
      <c r="D51" s="17"/>
      <c r="E51" s="17"/>
      <c r="F51" s="17"/>
      <c r="G51" s="17"/>
      <c r="H51" s="17"/>
      <c r="I51" s="17"/>
      <c r="J51" s="17"/>
      <c r="K51" s="17"/>
      <c r="L51" s="17"/>
    </row>
    <row r="52" spans="1:12" x14ac:dyDescent="0.35">
      <c r="A52" s="17"/>
      <c r="B52" s="17"/>
      <c r="C52" s="17"/>
      <c r="D52" s="17"/>
      <c r="E52" s="17"/>
      <c r="F52" s="17"/>
      <c r="G52" s="17"/>
      <c r="H52" s="17"/>
      <c r="I52" s="17"/>
      <c r="J52" s="17"/>
      <c r="K52" s="17"/>
      <c r="L52" s="17"/>
    </row>
    <row r="53" spans="1:12" x14ac:dyDescent="0.35">
      <c r="A53" s="56" t="s">
        <v>152</v>
      </c>
      <c r="B53" s="56"/>
      <c r="C53" s="56"/>
      <c r="D53" s="56"/>
      <c r="E53" s="56"/>
      <c r="G53" s="17"/>
      <c r="H53" s="56" t="s">
        <v>151</v>
      </c>
      <c r="I53" s="56"/>
      <c r="J53" s="56"/>
      <c r="K53" s="56"/>
      <c r="L53" s="56"/>
    </row>
    <row r="54" spans="1:12" x14ac:dyDescent="0.35">
      <c r="A54" s="17"/>
      <c r="B54" s="17"/>
      <c r="C54" s="17"/>
      <c r="D54" s="17"/>
      <c r="E54" s="17"/>
      <c r="F54" s="17"/>
      <c r="G54" s="17"/>
      <c r="H54" s="17"/>
      <c r="I54" s="17"/>
      <c r="J54" s="17"/>
      <c r="K54" s="17"/>
      <c r="L54" s="17"/>
    </row>
    <row r="55" spans="1:12" x14ac:dyDescent="0.35">
      <c r="A55" s="17"/>
      <c r="B55" s="17"/>
      <c r="C55" s="17"/>
      <c r="D55" s="17"/>
      <c r="E55" s="17"/>
      <c r="F55" s="17"/>
      <c r="G55" s="17"/>
      <c r="H55" s="17"/>
      <c r="I55" s="17"/>
      <c r="J55" s="17"/>
      <c r="K55" s="17"/>
      <c r="L55" s="17"/>
    </row>
    <row r="56" spans="1:12" x14ac:dyDescent="0.35">
      <c r="A56" s="17"/>
      <c r="B56" s="17"/>
      <c r="C56" s="17"/>
      <c r="D56" s="17"/>
      <c r="E56" s="17"/>
      <c r="F56" s="17"/>
      <c r="G56" s="17"/>
      <c r="H56" s="17"/>
      <c r="I56" s="17"/>
      <c r="J56" s="17"/>
      <c r="K56" s="17"/>
      <c r="L56" s="17"/>
    </row>
    <row r="57" spans="1:12" x14ac:dyDescent="0.35">
      <c r="A57" s="17"/>
      <c r="B57" s="17"/>
      <c r="C57" s="17"/>
      <c r="D57" s="17"/>
      <c r="E57" s="17"/>
      <c r="F57" s="17"/>
      <c r="G57" s="17"/>
      <c r="H57" s="17"/>
      <c r="I57" s="17"/>
      <c r="J57" s="17"/>
      <c r="K57" s="17"/>
      <c r="L57" s="17"/>
    </row>
    <row r="58" spans="1:12" x14ac:dyDescent="0.35">
      <c r="A58" s="17"/>
      <c r="B58" s="17"/>
      <c r="C58" s="17"/>
      <c r="D58" s="17"/>
      <c r="E58" s="17"/>
      <c r="F58" s="17"/>
      <c r="G58" s="17"/>
      <c r="H58" s="17"/>
      <c r="I58" s="17"/>
      <c r="J58" s="17"/>
      <c r="K58" s="17"/>
      <c r="L58" s="17"/>
    </row>
    <row r="59" spans="1:12" x14ac:dyDescent="0.35">
      <c r="A59" s="17"/>
      <c r="B59" s="17"/>
      <c r="C59" s="17"/>
      <c r="D59" s="17"/>
      <c r="E59" s="17"/>
      <c r="F59" s="17"/>
      <c r="G59" s="17"/>
      <c r="H59" s="17"/>
      <c r="I59" s="17"/>
      <c r="J59" s="17"/>
      <c r="K59" s="17"/>
      <c r="L59" s="17"/>
    </row>
    <row r="60" spans="1:12" x14ac:dyDescent="0.35">
      <c r="A60" s="17"/>
      <c r="B60" s="17"/>
      <c r="C60" s="17"/>
      <c r="D60" s="17"/>
      <c r="E60" s="17"/>
      <c r="F60" s="17"/>
      <c r="G60" s="17"/>
      <c r="H60" s="17"/>
      <c r="I60" s="17"/>
      <c r="J60" s="17"/>
      <c r="K60" s="17"/>
      <c r="L60" s="17"/>
    </row>
    <row r="61" spans="1:12" x14ac:dyDescent="0.35">
      <c r="A61" s="17"/>
      <c r="B61" s="17"/>
      <c r="C61" s="17"/>
      <c r="D61" s="17"/>
      <c r="E61" s="17"/>
      <c r="F61" s="17"/>
      <c r="G61" s="17"/>
      <c r="H61" s="17"/>
      <c r="I61" s="17"/>
      <c r="J61" s="17"/>
      <c r="K61" s="17"/>
      <c r="L61" s="17"/>
    </row>
    <row r="62" spans="1:12" x14ac:dyDescent="0.35">
      <c r="A62" s="17"/>
      <c r="B62" s="17"/>
      <c r="C62" s="17"/>
      <c r="D62" s="17"/>
      <c r="E62" s="17"/>
      <c r="F62" s="17"/>
      <c r="G62" s="17"/>
      <c r="H62" s="17"/>
      <c r="I62" s="17"/>
      <c r="J62" s="17"/>
      <c r="K62" s="17"/>
      <c r="L62" s="17"/>
    </row>
    <row r="63" spans="1:12" x14ac:dyDescent="0.35">
      <c r="A63" s="17"/>
      <c r="B63" s="17"/>
      <c r="C63" s="17"/>
      <c r="D63" s="17"/>
      <c r="E63" s="17"/>
      <c r="F63" s="17"/>
      <c r="G63" s="17"/>
      <c r="H63" s="17"/>
      <c r="I63" s="17"/>
      <c r="J63" s="17"/>
      <c r="K63" s="17"/>
      <c r="L63" s="17"/>
    </row>
    <row r="64" spans="1:12" x14ac:dyDescent="0.35">
      <c r="A64" s="17"/>
      <c r="B64" s="17"/>
      <c r="C64" s="17"/>
      <c r="D64" s="17"/>
      <c r="E64" s="17"/>
      <c r="F64" s="17"/>
      <c r="G64" s="17"/>
      <c r="H64" s="17"/>
      <c r="I64" s="17"/>
      <c r="J64" s="17"/>
      <c r="K64" s="17"/>
      <c r="L64" s="17"/>
    </row>
    <row r="65" spans="1:16" x14ac:dyDescent="0.35">
      <c r="A65" s="17"/>
      <c r="B65" s="17"/>
      <c r="C65" s="17"/>
      <c r="D65" s="17"/>
      <c r="E65" s="17"/>
      <c r="F65" s="17"/>
      <c r="G65" s="17"/>
      <c r="H65" s="17"/>
      <c r="I65" s="17"/>
      <c r="J65" s="17"/>
      <c r="K65" s="17"/>
      <c r="L65" s="17"/>
    </row>
    <row r="66" spans="1:16" x14ac:dyDescent="0.35">
      <c r="A66" s="17"/>
      <c r="B66" s="17"/>
      <c r="C66" s="17"/>
      <c r="D66" s="17"/>
      <c r="E66" s="17"/>
      <c r="F66" s="17"/>
      <c r="G66" s="17"/>
      <c r="H66" s="17"/>
      <c r="I66" s="17"/>
      <c r="J66" s="17"/>
      <c r="K66" s="17"/>
      <c r="L66" s="17"/>
    </row>
    <row r="67" spans="1:16" x14ac:dyDescent="0.35">
      <c r="A67" s="17"/>
      <c r="B67" s="17"/>
      <c r="C67" s="17"/>
      <c r="D67" s="17"/>
      <c r="E67" s="17"/>
      <c r="F67" s="17"/>
      <c r="G67" s="17"/>
      <c r="H67" s="17"/>
      <c r="I67" s="17"/>
      <c r="J67" s="17"/>
      <c r="K67" s="17"/>
      <c r="L67" s="17"/>
    </row>
    <row r="68" spans="1:16" x14ac:dyDescent="0.35">
      <c r="A68" s="17"/>
      <c r="B68" s="17"/>
      <c r="C68" s="17"/>
      <c r="D68" s="17"/>
      <c r="E68" s="17"/>
      <c r="F68" s="17"/>
      <c r="G68" s="17"/>
      <c r="H68" s="17"/>
      <c r="I68" s="17"/>
      <c r="J68" s="17"/>
      <c r="K68" s="17"/>
      <c r="L68" s="17"/>
    </row>
    <row r="69" spans="1:16" x14ac:dyDescent="0.35">
      <c r="A69" s="17"/>
      <c r="B69" s="17"/>
      <c r="C69" s="17"/>
      <c r="D69" s="17"/>
      <c r="E69" s="17"/>
      <c r="F69" s="17"/>
      <c r="G69" s="17"/>
      <c r="H69" s="17"/>
      <c r="I69" s="17"/>
      <c r="J69" s="17"/>
      <c r="K69" s="17"/>
      <c r="L69" s="17"/>
    </row>
    <row r="70" spans="1:16" x14ac:dyDescent="0.35">
      <c r="A70" s="17"/>
      <c r="B70" s="17"/>
      <c r="C70" s="17"/>
      <c r="D70" s="17"/>
      <c r="E70" s="17"/>
      <c r="F70" s="17"/>
      <c r="G70" s="17"/>
      <c r="H70" s="17"/>
      <c r="I70" s="17"/>
      <c r="J70" s="17"/>
      <c r="K70" s="17"/>
      <c r="L70" s="17"/>
    </row>
    <row r="71" spans="1:16" ht="21.75" customHeight="1" x14ac:dyDescent="0.35">
      <c r="A71" s="49" t="s">
        <v>64</v>
      </c>
      <c r="B71" s="45"/>
      <c r="C71" s="45"/>
      <c r="D71" s="45"/>
      <c r="E71" s="45"/>
      <c r="F71" s="45"/>
      <c r="G71" s="45"/>
      <c r="H71" s="45"/>
      <c r="I71" s="45"/>
      <c r="J71" s="45"/>
      <c r="K71" s="45"/>
      <c r="L71" s="45"/>
    </row>
    <row r="72" spans="1:16" x14ac:dyDescent="0.35">
      <c r="A72" s="17"/>
      <c r="B72" s="17"/>
      <c r="C72" s="17"/>
      <c r="D72" s="17"/>
      <c r="E72" s="17"/>
      <c r="F72" s="17"/>
      <c r="G72" s="17"/>
      <c r="H72" s="17"/>
      <c r="I72" s="17"/>
      <c r="J72" s="17"/>
      <c r="K72" s="17"/>
      <c r="L72" s="17"/>
    </row>
    <row r="73" spans="1:16" x14ac:dyDescent="0.35">
      <c r="A73" s="45" t="s">
        <v>371</v>
      </c>
      <c r="B73" s="45"/>
      <c r="C73" s="45"/>
      <c r="D73" s="45"/>
      <c r="E73" s="45"/>
      <c r="F73" s="45"/>
      <c r="G73" s="45"/>
      <c r="H73" s="45"/>
      <c r="I73" s="45"/>
      <c r="J73" s="45"/>
      <c r="K73" s="45"/>
      <c r="L73" s="45"/>
      <c r="M73" s="45"/>
      <c r="N73" s="45"/>
      <c r="O73" s="45"/>
    </row>
    <row r="74" spans="1:16" x14ac:dyDescent="0.35">
      <c r="A74" s="46" t="s">
        <v>372</v>
      </c>
      <c r="B74" s="46"/>
      <c r="C74" s="46"/>
      <c r="D74" s="46"/>
      <c r="E74" s="46"/>
      <c r="F74" s="46"/>
      <c r="G74" s="46"/>
      <c r="H74" s="46"/>
      <c r="I74" s="46"/>
      <c r="J74" s="46"/>
      <c r="K74" s="46"/>
      <c r="L74" s="46"/>
      <c r="M74" s="46"/>
      <c r="N74" s="46"/>
      <c r="O74" s="46"/>
    </row>
    <row r="75" spans="1:16" x14ac:dyDescent="0.35">
      <c r="A75" s="45" t="s">
        <v>139</v>
      </c>
      <c r="B75" s="45"/>
      <c r="C75" s="45"/>
      <c r="D75" s="45"/>
      <c r="E75" s="45"/>
      <c r="F75" s="45"/>
      <c r="G75" s="45"/>
      <c r="H75" s="45"/>
      <c r="I75" s="45"/>
      <c r="J75" s="45"/>
      <c r="K75" s="45"/>
      <c r="L75" s="45"/>
      <c r="M75" s="45"/>
      <c r="N75" s="45"/>
      <c r="O75" s="45"/>
    </row>
    <row r="76" spans="1:16" ht="15" customHeight="1" x14ac:dyDescent="0.35">
      <c r="A76" s="47" t="s">
        <v>373</v>
      </c>
      <c r="B76" s="47"/>
      <c r="C76" s="47"/>
      <c r="D76" s="47"/>
      <c r="E76" s="47"/>
      <c r="F76" s="47"/>
      <c r="G76" s="47"/>
      <c r="H76" s="47"/>
      <c r="I76" s="47"/>
      <c r="J76" s="47"/>
      <c r="K76" s="47"/>
      <c r="L76" s="47"/>
      <c r="M76" s="47"/>
      <c r="N76" s="47"/>
      <c r="O76" s="47"/>
      <c r="P76" s="47"/>
    </row>
    <row r="77" spans="1:16" x14ac:dyDescent="0.35">
      <c r="A77" s="45" t="s">
        <v>374</v>
      </c>
      <c r="B77" s="45"/>
      <c r="C77" s="45"/>
      <c r="D77" s="45"/>
      <c r="E77" s="45"/>
      <c r="F77" s="45"/>
      <c r="G77" s="45"/>
      <c r="H77" s="45"/>
      <c r="I77" s="45"/>
      <c r="J77" s="45"/>
      <c r="K77" s="45"/>
      <c r="L77" s="45"/>
      <c r="M77" s="45"/>
      <c r="N77" s="45"/>
      <c r="O77" s="45"/>
    </row>
    <row r="78" spans="1:16" x14ac:dyDescent="0.35">
      <c r="A78" s="46"/>
      <c r="B78" s="46"/>
      <c r="C78" s="46"/>
      <c r="D78" s="46"/>
      <c r="E78" s="46"/>
      <c r="F78" s="46"/>
      <c r="G78" s="46"/>
      <c r="H78" s="46"/>
      <c r="I78" s="46"/>
      <c r="J78" s="46"/>
      <c r="K78" s="46"/>
      <c r="L78" s="46"/>
      <c r="M78" s="46"/>
      <c r="N78" s="46"/>
      <c r="O78" s="46"/>
    </row>
    <row r="79" spans="1:16" x14ac:dyDescent="0.35">
      <c r="A79" s="17"/>
      <c r="B79" s="17"/>
      <c r="C79" s="17"/>
      <c r="D79" s="17"/>
      <c r="E79" s="17"/>
      <c r="F79" s="17"/>
      <c r="G79" s="17"/>
      <c r="H79" s="17"/>
      <c r="I79" s="17"/>
      <c r="J79" s="17"/>
      <c r="K79" s="17"/>
      <c r="L79" s="17"/>
    </row>
    <row r="80" spans="1:16" x14ac:dyDescent="0.35">
      <c r="A80" s="17"/>
      <c r="B80" s="17"/>
      <c r="C80" s="17"/>
      <c r="D80" s="17"/>
      <c r="E80" s="17"/>
      <c r="F80" s="17"/>
      <c r="G80" s="17"/>
      <c r="H80" s="17"/>
      <c r="I80" s="17"/>
      <c r="J80" s="17"/>
      <c r="K80" s="17"/>
      <c r="L80" s="17"/>
    </row>
    <row r="81" spans="1:12" x14ac:dyDescent="0.35">
      <c r="A81" s="17"/>
      <c r="B81" s="17"/>
      <c r="C81" s="17"/>
      <c r="D81" s="17"/>
      <c r="E81" s="17"/>
      <c r="F81" s="17"/>
      <c r="G81" s="17"/>
      <c r="H81" s="17"/>
      <c r="I81" s="17"/>
      <c r="J81" s="17"/>
      <c r="K81" s="17"/>
      <c r="L81" s="17"/>
    </row>
    <row r="82" spans="1:12" x14ac:dyDescent="0.35">
      <c r="A82" s="17"/>
      <c r="B82" s="17"/>
      <c r="C82" s="17"/>
      <c r="D82" s="17"/>
      <c r="E82" s="17"/>
      <c r="F82" s="17"/>
      <c r="G82" s="17"/>
      <c r="H82" s="17"/>
      <c r="I82" s="17"/>
      <c r="J82" s="17"/>
      <c r="K82" s="17"/>
      <c r="L82" s="17"/>
    </row>
  </sheetData>
  <mergeCells count="33">
    <mergeCell ref="D9:F9"/>
    <mergeCell ref="J9:L9"/>
    <mergeCell ref="D10:F11"/>
    <mergeCell ref="J10:L11"/>
    <mergeCell ref="G9:I9"/>
    <mergeCell ref="G10:I11"/>
    <mergeCell ref="A53:E53"/>
    <mergeCell ref="A13:E13"/>
    <mergeCell ref="A33:E33"/>
    <mergeCell ref="O13:S13"/>
    <mergeCell ref="A10:C11"/>
    <mergeCell ref="A1:L2"/>
    <mergeCell ref="A71:L71"/>
    <mergeCell ref="J6:L7"/>
    <mergeCell ref="H13:L13"/>
    <mergeCell ref="J5:L5"/>
    <mergeCell ref="H33:L33"/>
    <mergeCell ref="A3:L3"/>
    <mergeCell ref="A34:F48"/>
    <mergeCell ref="A5:C5"/>
    <mergeCell ref="A6:C7"/>
    <mergeCell ref="D5:F5"/>
    <mergeCell ref="D6:F7"/>
    <mergeCell ref="G5:I5"/>
    <mergeCell ref="G6:I7"/>
    <mergeCell ref="A9:C9"/>
    <mergeCell ref="H53:L53"/>
    <mergeCell ref="A77:O77"/>
    <mergeCell ref="A78:O78"/>
    <mergeCell ref="A76:P76"/>
    <mergeCell ref="A73:O73"/>
    <mergeCell ref="A74:O74"/>
    <mergeCell ref="A75:O75"/>
  </mergeCells>
  <pageMargins left="0.7" right="0.7" top="0.75" bottom="0.75" header="0.511811023622047" footer="0.511811023622047"/>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6"/>
  <sheetViews>
    <sheetView zoomScaleNormal="100" workbookViewId="0"/>
  </sheetViews>
  <sheetFormatPr defaultColWidth="14.26953125" defaultRowHeight="14.5" x14ac:dyDescent="0.35"/>
  <cols>
    <col min="1" max="1" width="12.90625" style="7" bestFit="1" customWidth="1"/>
    <col min="2" max="2" width="71.1796875" style="7" bestFit="1" customWidth="1"/>
    <col min="3" max="3" width="20.26953125" style="7" bestFit="1" customWidth="1"/>
    <col min="4" max="4" width="10.26953125" style="7" bestFit="1" customWidth="1"/>
    <col min="5" max="5" width="11.1796875" style="7" bestFit="1" customWidth="1"/>
    <col min="6" max="6" width="25.90625" style="7" bestFit="1" customWidth="1"/>
    <col min="7" max="7" width="10.81640625" style="7" bestFit="1" customWidth="1"/>
    <col min="8" max="8" width="10.90625" style="7" bestFit="1" customWidth="1"/>
    <col min="9" max="9" width="13.90625" style="7" bestFit="1" customWidth="1"/>
    <col min="10" max="10" width="15.08984375" style="7" bestFit="1" customWidth="1"/>
    <col min="11" max="11" width="21.36328125" style="7" bestFit="1" customWidth="1"/>
    <col min="12" max="12" width="19.08984375" style="7" bestFit="1" customWidth="1"/>
    <col min="13" max="13" width="12.453125" style="7" bestFit="1" customWidth="1"/>
    <col min="14" max="16384" width="14.26953125" style="7"/>
  </cols>
  <sheetData>
    <row r="1" spans="1:13" s="26" customFormat="1" ht="18.5" x14ac:dyDescent="0.35">
      <c r="A1" s="1" t="s">
        <v>65</v>
      </c>
      <c r="B1" s="2" t="s">
        <v>66</v>
      </c>
      <c r="C1" s="1" t="s">
        <v>67</v>
      </c>
      <c r="D1" s="1" t="s">
        <v>68</v>
      </c>
      <c r="E1" s="1" t="s">
        <v>69</v>
      </c>
      <c r="F1" s="1" t="s">
        <v>70</v>
      </c>
      <c r="G1" s="1" t="s">
        <v>71</v>
      </c>
      <c r="H1" s="1" t="s">
        <v>72</v>
      </c>
      <c r="I1" s="1" t="s">
        <v>73</v>
      </c>
      <c r="J1" s="1" t="s">
        <v>74</v>
      </c>
      <c r="K1" s="1" t="s">
        <v>75</v>
      </c>
      <c r="L1" s="1" t="s">
        <v>76</v>
      </c>
      <c r="M1" s="1" t="s">
        <v>77</v>
      </c>
    </row>
    <row r="2" spans="1:13" ht="29" x14ac:dyDescent="0.35">
      <c r="A2" s="4" t="s">
        <v>156</v>
      </c>
      <c r="B2" s="5" t="s">
        <v>157</v>
      </c>
      <c r="C2" s="4" t="s">
        <v>252</v>
      </c>
      <c r="D2" s="13" t="s">
        <v>297</v>
      </c>
      <c r="E2" s="13"/>
      <c r="F2" s="13"/>
      <c r="G2" s="6">
        <v>13999</v>
      </c>
      <c r="H2" s="7" t="s">
        <v>78</v>
      </c>
      <c r="I2" s="7" t="s">
        <v>79</v>
      </c>
      <c r="J2" s="7" t="s">
        <v>80</v>
      </c>
      <c r="K2" s="7" t="s">
        <v>81</v>
      </c>
      <c r="L2" s="7" t="s">
        <v>82</v>
      </c>
    </row>
    <row r="3" spans="1:13" ht="29" x14ac:dyDescent="0.35">
      <c r="A3" s="8" t="s">
        <v>156</v>
      </c>
      <c r="B3" s="9" t="s">
        <v>158</v>
      </c>
      <c r="C3" s="4" t="s">
        <v>253</v>
      </c>
      <c r="D3" s="13" t="s">
        <v>298</v>
      </c>
      <c r="E3" s="13"/>
      <c r="F3" s="13"/>
      <c r="G3" s="10">
        <v>13999</v>
      </c>
      <c r="H3" s="7" t="s">
        <v>78</v>
      </c>
      <c r="I3" s="7" t="s">
        <v>83</v>
      </c>
      <c r="J3" s="7" t="s">
        <v>80</v>
      </c>
      <c r="K3" s="7" t="s">
        <v>81</v>
      </c>
      <c r="L3" s="7" t="s">
        <v>82</v>
      </c>
    </row>
    <row r="4" spans="1:13" ht="29" x14ac:dyDescent="0.35">
      <c r="A4" s="8" t="s">
        <v>156</v>
      </c>
      <c r="B4" s="9" t="s">
        <v>159</v>
      </c>
      <c r="C4" s="4" t="s">
        <v>254</v>
      </c>
      <c r="D4" s="13" t="s">
        <v>299</v>
      </c>
      <c r="E4" s="13"/>
      <c r="F4" s="13"/>
      <c r="G4" s="10">
        <v>16999</v>
      </c>
      <c r="H4" s="7" t="s">
        <v>84</v>
      </c>
      <c r="I4" s="7" t="s">
        <v>79</v>
      </c>
      <c r="J4" s="7" t="s">
        <v>80</v>
      </c>
      <c r="K4" s="7" t="s">
        <v>81</v>
      </c>
      <c r="L4" s="7" t="s">
        <v>82</v>
      </c>
    </row>
    <row r="5" spans="1:13" ht="29" x14ac:dyDescent="0.35">
      <c r="A5" s="8" t="s">
        <v>156</v>
      </c>
      <c r="B5" s="9" t="s">
        <v>160</v>
      </c>
      <c r="C5" s="4" t="s">
        <v>255</v>
      </c>
      <c r="D5" s="13" t="s">
        <v>300</v>
      </c>
      <c r="E5" s="13"/>
      <c r="F5" s="13"/>
      <c r="G5" s="10">
        <v>16999</v>
      </c>
      <c r="H5" s="7" t="s">
        <v>84</v>
      </c>
      <c r="I5" s="7" t="s">
        <v>83</v>
      </c>
      <c r="J5" s="7" t="s">
        <v>80</v>
      </c>
      <c r="K5" s="7" t="s">
        <v>81</v>
      </c>
      <c r="L5" s="7" t="s">
        <v>82</v>
      </c>
    </row>
    <row r="6" spans="1:13" ht="29" x14ac:dyDescent="0.35">
      <c r="A6" s="8" t="s">
        <v>161</v>
      </c>
      <c r="B6" s="9" t="s">
        <v>162</v>
      </c>
      <c r="C6" s="4" t="s">
        <v>256</v>
      </c>
      <c r="D6" s="13" t="s">
        <v>301</v>
      </c>
      <c r="E6" s="13"/>
      <c r="F6" s="13"/>
      <c r="G6" s="10">
        <v>10999</v>
      </c>
      <c r="H6" s="7" t="s">
        <v>85</v>
      </c>
      <c r="I6" s="7" t="s">
        <v>79</v>
      </c>
      <c r="J6" s="7" t="s">
        <v>86</v>
      </c>
      <c r="K6" s="7" t="s">
        <v>81</v>
      </c>
      <c r="L6" s="7" t="s">
        <v>87</v>
      </c>
    </row>
    <row r="7" spans="1:13" ht="29" x14ac:dyDescent="0.35">
      <c r="A7" s="8" t="s">
        <v>161</v>
      </c>
      <c r="B7" s="9" t="s">
        <v>163</v>
      </c>
      <c r="C7" s="4" t="s">
        <v>257</v>
      </c>
      <c r="D7" s="13" t="s">
        <v>302</v>
      </c>
      <c r="E7" s="13"/>
      <c r="F7" s="13"/>
      <c r="G7" s="10">
        <v>10999</v>
      </c>
      <c r="H7" s="7" t="s">
        <v>85</v>
      </c>
      <c r="I7" s="7" t="s">
        <v>83</v>
      </c>
      <c r="J7" s="7" t="s">
        <v>86</v>
      </c>
      <c r="K7" s="7" t="s">
        <v>81</v>
      </c>
      <c r="L7" s="7" t="s">
        <v>87</v>
      </c>
    </row>
    <row r="8" spans="1:13" ht="29" x14ac:dyDescent="0.35">
      <c r="A8" s="8" t="s">
        <v>161</v>
      </c>
      <c r="B8" s="9" t="s">
        <v>164</v>
      </c>
      <c r="C8" s="4" t="s">
        <v>258</v>
      </c>
      <c r="D8" s="13" t="s">
        <v>303</v>
      </c>
      <c r="E8" s="13" t="s">
        <v>339</v>
      </c>
      <c r="F8" s="13" t="s">
        <v>364</v>
      </c>
      <c r="G8" s="10">
        <v>12999</v>
      </c>
      <c r="H8" s="7" t="s">
        <v>84</v>
      </c>
      <c r="I8" s="7" t="s">
        <v>79</v>
      </c>
      <c r="J8" s="7" t="s">
        <v>86</v>
      </c>
      <c r="K8" s="7" t="s">
        <v>81</v>
      </c>
      <c r="L8" s="7" t="s">
        <v>87</v>
      </c>
    </row>
    <row r="9" spans="1:13" ht="29" x14ac:dyDescent="0.35">
      <c r="A9" s="8" t="s">
        <v>161</v>
      </c>
      <c r="B9" s="9" t="s">
        <v>165</v>
      </c>
      <c r="C9" s="4" t="s">
        <v>259</v>
      </c>
      <c r="D9" s="13" t="s">
        <v>304</v>
      </c>
      <c r="E9" s="13" t="s">
        <v>340</v>
      </c>
      <c r="F9" s="13" t="s">
        <v>365</v>
      </c>
      <c r="G9" s="10">
        <v>12999</v>
      </c>
      <c r="H9" s="7" t="s">
        <v>84</v>
      </c>
      <c r="I9" s="7" t="s">
        <v>83</v>
      </c>
      <c r="J9" s="7" t="s">
        <v>86</v>
      </c>
      <c r="K9" s="7" t="s">
        <v>81</v>
      </c>
      <c r="L9" s="7" t="s">
        <v>87</v>
      </c>
    </row>
    <row r="10" spans="1:13" ht="29" x14ac:dyDescent="0.35">
      <c r="A10" s="8" t="s">
        <v>161</v>
      </c>
      <c r="B10" s="9" t="s">
        <v>166</v>
      </c>
      <c r="C10" s="4" t="s">
        <v>260</v>
      </c>
      <c r="D10" s="13" t="s">
        <v>305</v>
      </c>
      <c r="E10" s="13"/>
      <c r="F10" s="13"/>
      <c r="G10" s="10">
        <v>37999</v>
      </c>
      <c r="H10" s="7" t="s">
        <v>88</v>
      </c>
      <c r="I10" s="7" t="s">
        <v>79</v>
      </c>
      <c r="J10" s="7" t="s">
        <v>86</v>
      </c>
      <c r="K10" s="7" t="s">
        <v>81</v>
      </c>
      <c r="L10" s="7" t="s">
        <v>87</v>
      </c>
    </row>
    <row r="11" spans="1:13" ht="29" x14ac:dyDescent="0.35">
      <c r="A11" s="8" t="s">
        <v>161</v>
      </c>
      <c r="B11" s="9" t="s">
        <v>167</v>
      </c>
      <c r="C11" s="4" t="s">
        <v>261</v>
      </c>
      <c r="D11" s="13" t="s">
        <v>306</v>
      </c>
      <c r="E11" s="13"/>
      <c r="F11" s="13"/>
      <c r="G11" s="10">
        <v>37999</v>
      </c>
      <c r="H11" s="7" t="s">
        <v>88</v>
      </c>
      <c r="I11" s="7" t="s">
        <v>83</v>
      </c>
      <c r="J11" s="7" t="s">
        <v>86</v>
      </c>
      <c r="K11" s="7" t="s">
        <v>81</v>
      </c>
      <c r="L11" s="7" t="s">
        <v>87</v>
      </c>
    </row>
    <row r="12" spans="1:13" ht="29" x14ac:dyDescent="0.35">
      <c r="A12" s="8" t="s">
        <v>168</v>
      </c>
      <c r="B12" s="9" t="s">
        <v>169</v>
      </c>
      <c r="C12" s="4" t="s">
        <v>262</v>
      </c>
      <c r="D12" s="13" t="s">
        <v>307</v>
      </c>
      <c r="E12" s="13" t="s">
        <v>342</v>
      </c>
      <c r="F12" s="13" t="s">
        <v>366</v>
      </c>
      <c r="G12" s="10">
        <v>15999</v>
      </c>
      <c r="H12" s="7" t="s">
        <v>85</v>
      </c>
      <c r="I12" s="7" t="s">
        <v>89</v>
      </c>
      <c r="J12" s="7" t="s">
        <v>86</v>
      </c>
      <c r="K12" s="7" t="s">
        <v>90</v>
      </c>
      <c r="L12" s="7" t="s">
        <v>87</v>
      </c>
    </row>
    <row r="13" spans="1:13" ht="29" x14ac:dyDescent="0.35">
      <c r="A13" s="8" t="s">
        <v>168</v>
      </c>
      <c r="B13" s="9" t="s">
        <v>170</v>
      </c>
      <c r="C13" s="4" t="s">
        <v>263</v>
      </c>
      <c r="D13" s="13" t="s">
        <v>308</v>
      </c>
      <c r="E13" s="13" t="s">
        <v>343</v>
      </c>
      <c r="F13" s="13"/>
      <c r="G13" s="10">
        <v>15999</v>
      </c>
      <c r="H13" s="7" t="s">
        <v>85</v>
      </c>
      <c r="I13" s="7" t="s">
        <v>91</v>
      </c>
      <c r="J13" s="7" t="s">
        <v>86</v>
      </c>
      <c r="K13" s="7" t="s">
        <v>90</v>
      </c>
      <c r="L13" s="7" t="s">
        <v>87</v>
      </c>
    </row>
    <row r="14" spans="1:13" ht="29" x14ac:dyDescent="0.35">
      <c r="A14" s="8" t="s">
        <v>168</v>
      </c>
      <c r="B14" s="9" t="s">
        <v>171</v>
      </c>
      <c r="C14" s="4" t="s">
        <v>264</v>
      </c>
      <c r="D14" s="13" t="s">
        <v>309</v>
      </c>
      <c r="E14" s="13" t="s">
        <v>344</v>
      </c>
      <c r="F14" s="13"/>
      <c r="G14" s="10">
        <v>15999</v>
      </c>
      <c r="H14" s="7" t="s">
        <v>85</v>
      </c>
      <c r="I14" s="7" t="s">
        <v>92</v>
      </c>
      <c r="J14" s="7" t="s">
        <v>86</v>
      </c>
      <c r="K14" s="7" t="s">
        <v>90</v>
      </c>
      <c r="L14" s="7" t="s">
        <v>87</v>
      </c>
    </row>
    <row r="15" spans="1:13" ht="29" x14ac:dyDescent="0.35">
      <c r="A15" s="8" t="s">
        <v>168</v>
      </c>
      <c r="B15" s="9" t="s">
        <v>172</v>
      </c>
      <c r="C15" s="4" t="s">
        <v>265</v>
      </c>
      <c r="D15" s="13" t="s">
        <v>310</v>
      </c>
      <c r="E15" s="13" t="s">
        <v>345</v>
      </c>
      <c r="F15" s="13" t="s">
        <v>367</v>
      </c>
      <c r="G15" s="10">
        <v>17999</v>
      </c>
      <c r="H15" s="7" t="s">
        <v>84</v>
      </c>
      <c r="I15" s="7" t="s">
        <v>89</v>
      </c>
      <c r="J15" s="7" t="s">
        <v>86</v>
      </c>
      <c r="K15" s="7" t="s">
        <v>93</v>
      </c>
      <c r="L15" s="7" t="s">
        <v>87</v>
      </c>
    </row>
    <row r="16" spans="1:13" ht="29" x14ac:dyDescent="0.35">
      <c r="A16" s="8" t="s">
        <v>168</v>
      </c>
      <c r="B16" s="9" t="s">
        <v>173</v>
      </c>
      <c r="C16" s="4" t="s">
        <v>266</v>
      </c>
      <c r="D16" s="13" t="s">
        <v>311</v>
      </c>
      <c r="E16" s="13" t="s">
        <v>346</v>
      </c>
      <c r="F16" s="13"/>
      <c r="G16" s="10">
        <v>17999</v>
      </c>
      <c r="H16" s="7" t="s">
        <v>84</v>
      </c>
      <c r="I16" s="7" t="s">
        <v>91</v>
      </c>
      <c r="J16" s="7" t="s">
        <v>86</v>
      </c>
      <c r="K16" s="7" t="s">
        <v>93</v>
      </c>
      <c r="L16" s="7" t="s">
        <v>87</v>
      </c>
    </row>
    <row r="17" spans="1:12" ht="29" x14ac:dyDescent="0.35">
      <c r="A17" s="8" t="s">
        <v>168</v>
      </c>
      <c r="B17" s="9" t="s">
        <v>174</v>
      </c>
      <c r="C17" s="4" t="s">
        <v>267</v>
      </c>
      <c r="D17" s="13" t="s">
        <v>312</v>
      </c>
      <c r="E17" s="13" t="s">
        <v>347</v>
      </c>
      <c r="F17" s="13"/>
      <c r="G17" s="10">
        <v>17999</v>
      </c>
      <c r="H17" s="7" t="s">
        <v>84</v>
      </c>
      <c r="I17" s="7" t="s">
        <v>92</v>
      </c>
      <c r="J17" s="7" t="s">
        <v>86</v>
      </c>
      <c r="K17" s="7" t="s">
        <v>93</v>
      </c>
      <c r="L17" s="7" t="s">
        <v>87</v>
      </c>
    </row>
    <row r="18" spans="1:12" ht="29" x14ac:dyDescent="0.35">
      <c r="A18" s="8" t="s">
        <v>168</v>
      </c>
      <c r="B18" s="9" t="s">
        <v>175</v>
      </c>
      <c r="C18" s="4" t="s">
        <v>268</v>
      </c>
      <c r="D18" s="13" t="s">
        <v>313</v>
      </c>
      <c r="E18" s="13" t="s">
        <v>348</v>
      </c>
      <c r="F18" s="13"/>
      <c r="G18" s="10">
        <v>20999</v>
      </c>
      <c r="H18" s="7" t="s">
        <v>84</v>
      </c>
      <c r="I18" s="7" t="s">
        <v>89</v>
      </c>
      <c r="J18" s="7" t="s">
        <v>86</v>
      </c>
      <c r="K18" s="7" t="s">
        <v>93</v>
      </c>
      <c r="L18" s="7" t="s">
        <v>87</v>
      </c>
    </row>
    <row r="19" spans="1:12" ht="29" x14ac:dyDescent="0.35">
      <c r="A19" s="8" t="s">
        <v>168</v>
      </c>
      <c r="B19" s="9" t="s">
        <v>176</v>
      </c>
      <c r="C19" s="4" t="s">
        <v>269</v>
      </c>
      <c r="D19" s="13" t="s">
        <v>314</v>
      </c>
      <c r="E19" s="13" t="s">
        <v>349</v>
      </c>
      <c r="F19" s="13" t="s">
        <v>368</v>
      </c>
      <c r="G19" s="10">
        <v>20999</v>
      </c>
      <c r="H19" s="7" t="s">
        <v>84</v>
      </c>
      <c r="I19" s="7" t="s">
        <v>92</v>
      </c>
      <c r="J19" s="7" t="s">
        <v>86</v>
      </c>
      <c r="K19" s="7" t="s">
        <v>93</v>
      </c>
      <c r="L19" s="7" t="s">
        <v>87</v>
      </c>
    </row>
    <row r="20" spans="1:12" ht="29" x14ac:dyDescent="0.35">
      <c r="A20" s="8" t="s">
        <v>168</v>
      </c>
      <c r="B20" s="9" t="s">
        <v>177</v>
      </c>
      <c r="C20" s="4" t="s">
        <v>270</v>
      </c>
      <c r="D20" s="13" t="s">
        <v>133</v>
      </c>
      <c r="E20" s="13" t="s">
        <v>133</v>
      </c>
      <c r="F20" s="13" t="s">
        <v>133</v>
      </c>
      <c r="G20" s="10">
        <v>20999</v>
      </c>
      <c r="H20" s="7" t="s">
        <v>84</v>
      </c>
      <c r="I20" s="7" t="s">
        <v>91</v>
      </c>
      <c r="J20" s="7" t="s">
        <v>86</v>
      </c>
      <c r="K20" s="7" t="s">
        <v>134</v>
      </c>
      <c r="L20" s="7" t="s">
        <v>87</v>
      </c>
    </row>
    <row r="21" spans="1:12" ht="29" x14ac:dyDescent="0.35">
      <c r="A21" s="8" t="s">
        <v>221</v>
      </c>
      <c r="B21" s="9" t="s">
        <v>222</v>
      </c>
      <c r="C21" s="4" t="s">
        <v>271</v>
      </c>
      <c r="D21" s="13" t="s">
        <v>315</v>
      </c>
      <c r="E21" s="13" t="s">
        <v>350</v>
      </c>
      <c r="F21" s="13" t="s">
        <v>369</v>
      </c>
      <c r="G21" s="10">
        <v>25999</v>
      </c>
      <c r="H21" s="7" t="s">
        <v>94</v>
      </c>
      <c r="I21" s="7" t="s">
        <v>79</v>
      </c>
      <c r="J21" s="7" t="s">
        <v>86</v>
      </c>
      <c r="K21" s="7" t="s">
        <v>90</v>
      </c>
      <c r="L21" s="7" t="s">
        <v>82</v>
      </c>
    </row>
    <row r="22" spans="1:12" ht="29" x14ac:dyDescent="0.35">
      <c r="A22" s="8" t="s">
        <v>221</v>
      </c>
      <c r="B22" s="9" t="s">
        <v>223</v>
      </c>
      <c r="C22" s="4" t="s">
        <v>272</v>
      </c>
      <c r="D22" s="13" t="s">
        <v>316</v>
      </c>
      <c r="E22" s="13" t="s">
        <v>341</v>
      </c>
      <c r="F22" s="13" t="s">
        <v>370</v>
      </c>
      <c r="G22" s="10">
        <v>25999</v>
      </c>
      <c r="H22" s="7" t="s">
        <v>94</v>
      </c>
      <c r="I22" s="7" t="s">
        <v>95</v>
      </c>
      <c r="J22" s="7" t="s">
        <v>86</v>
      </c>
      <c r="K22" s="7" t="s">
        <v>90</v>
      </c>
      <c r="L22" s="7" t="s">
        <v>82</v>
      </c>
    </row>
    <row r="23" spans="1:12" ht="29" x14ac:dyDescent="0.35">
      <c r="A23" s="8" t="s">
        <v>221</v>
      </c>
      <c r="B23" s="9" t="s">
        <v>224</v>
      </c>
      <c r="C23" s="4" t="s">
        <v>273</v>
      </c>
      <c r="D23" s="13" t="s">
        <v>317</v>
      </c>
      <c r="E23" s="13" t="s">
        <v>351</v>
      </c>
      <c r="F23" s="13"/>
      <c r="G23" s="10">
        <v>25999</v>
      </c>
      <c r="H23" s="7" t="s">
        <v>94</v>
      </c>
      <c r="I23" s="7" t="s">
        <v>96</v>
      </c>
      <c r="J23" s="7" t="s">
        <v>86</v>
      </c>
      <c r="K23" s="7" t="s">
        <v>90</v>
      </c>
      <c r="L23" s="7" t="s">
        <v>82</v>
      </c>
    </row>
    <row r="24" spans="1:12" ht="29" x14ac:dyDescent="0.35">
      <c r="A24" s="8" t="s">
        <v>221</v>
      </c>
      <c r="B24" s="9" t="s">
        <v>225</v>
      </c>
      <c r="C24" s="4" t="s">
        <v>274</v>
      </c>
      <c r="D24" s="13" t="s">
        <v>318</v>
      </c>
      <c r="E24" s="13" t="s">
        <v>352</v>
      </c>
      <c r="F24" s="13"/>
      <c r="G24" s="10">
        <v>15999</v>
      </c>
      <c r="H24" s="7" t="s">
        <v>78</v>
      </c>
      <c r="I24" s="7" t="s">
        <v>83</v>
      </c>
      <c r="J24" s="7" t="s">
        <v>97</v>
      </c>
      <c r="K24" s="7" t="s">
        <v>90</v>
      </c>
      <c r="L24" s="7" t="s">
        <v>87</v>
      </c>
    </row>
    <row r="25" spans="1:12" ht="29" x14ac:dyDescent="0.35">
      <c r="A25" s="8" t="s">
        <v>221</v>
      </c>
      <c r="B25" s="9" t="s">
        <v>226</v>
      </c>
      <c r="C25" s="4" t="s">
        <v>275</v>
      </c>
      <c r="D25" s="13" t="s">
        <v>319</v>
      </c>
      <c r="E25" s="13"/>
      <c r="F25" s="13"/>
      <c r="G25" s="10">
        <v>15999</v>
      </c>
      <c r="H25" s="7" t="s">
        <v>78</v>
      </c>
      <c r="I25" s="7" t="s">
        <v>95</v>
      </c>
      <c r="J25" s="7" t="s">
        <v>97</v>
      </c>
      <c r="K25" s="7" t="s">
        <v>90</v>
      </c>
      <c r="L25" s="7" t="s">
        <v>87</v>
      </c>
    </row>
    <row r="26" spans="1:12" ht="29" x14ac:dyDescent="0.35">
      <c r="A26" s="8" t="s">
        <v>221</v>
      </c>
      <c r="B26" s="9" t="s">
        <v>227</v>
      </c>
      <c r="C26" s="4" t="s">
        <v>276</v>
      </c>
      <c r="D26" s="13" t="s">
        <v>320</v>
      </c>
      <c r="E26" s="13"/>
      <c r="F26" s="13"/>
      <c r="G26" s="10">
        <v>15999</v>
      </c>
      <c r="H26" s="7" t="s">
        <v>78</v>
      </c>
      <c r="I26" s="7" t="s">
        <v>98</v>
      </c>
      <c r="J26" s="7" t="s">
        <v>86</v>
      </c>
      <c r="K26" s="7" t="s">
        <v>90</v>
      </c>
      <c r="L26" s="7" t="s">
        <v>87</v>
      </c>
    </row>
    <row r="27" spans="1:12" ht="29" x14ac:dyDescent="0.35">
      <c r="A27" s="8" t="s">
        <v>221</v>
      </c>
      <c r="B27" s="9" t="s">
        <v>228</v>
      </c>
      <c r="C27" s="4" t="s">
        <v>277</v>
      </c>
      <c r="D27" s="13" t="s">
        <v>321</v>
      </c>
      <c r="E27" s="13"/>
      <c r="F27" s="13"/>
      <c r="G27" s="10">
        <v>15999</v>
      </c>
      <c r="H27" s="7" t="s">
        <v>78</v>
      </c>
      <c r="I27" s="7" t="s">
        <v>96</v>
      </c>
      <c r="J27" s="7" t="s">
        <v>86</v>
      </c>
      <c r="K27" s="7" t="s">
        <v>90</v>
      </c>
      <c r="L27" s="7" t="s">
        <v>87</v>
      </c>
    </row>
    <row r="28" spans="1:12" ht="29" x14ac:dyDescent="0.35">
      <c r="A28" s="8" t="s">
        <v>221</v>
      </c>
      <c r="B28" s="9" t="s">
        <v>229</v>
      </c>
      <c r="C28" s="4" t="s">
        <v>278</v>
      </c>
      <c r="D28" s="13" t="s">
        <v>322</v>
      </c>
      <c r="E28" s="13" t="s">
        <v>353</v>
      </c>
      <c r="F28" s="13"/>
      <c r="G28" s="10">
        <v>17999</v>
      </c>
      <c r="H28" s="7" t="s">
        <v>84</v>
      </c>
      <c r="I28" s="7" t="s">
        <v>79</v>
      </c>
      <c r="J28" s="7" t="s">
        <v>86</v>
      </c>
      <c r="K28" s="7" t="s">
        <v>90</v>
      </c>
      <c r="L28" s="7" t="s">
        <v>87</v>
      </c>
    </row>
    <row r="29" spans="1:12" ht="29" x14ac:dyDescent="0.35">
      <c r="A29" s="8" t="s">
        <v>221</v>
      </c>
      <c r="B29" s="9" t="s">
        <v>230</v>
      </c>
      <c r="C29" s="4" t="s">
        <v>279</v>
      </c>
      <c r="D29" s="13" t="s">
        <v>323</v>
      </c>
      <c r="E29" s="13"/>
      <c r="F29" s="13"/>
      <c r="G29" s="10">
        <v>17999</v>
      </c>
      <c r="H29" s="7" t="s">
        <v>84</v>
      </c>
      <c r="I29" s="7" t="s">
        <v>98</v>
      </c>
      <c r="J29" s="7" t="s">
        <v>86</v>
      </c>
      <c r="K29" s="7" t="s">
        <v>90</v>
      </c>
      <c r="L29" s="7" t="s">
        <v>87</v>
      </c>
    </row>
    <row r="30" spans="1:12" ht="29" x14ac:dyDescent="0.35">
      <c r="A30" s="8" t="s">
        <v>221</v>
      </c>
      <c r="B30" s="9" t="s">
        <v>231</v>
      </c>
      <c r="C30" s="4" t="s">
        <v>280</v>
      </c>
      <c r="D30" s="13" t="s">
        <v>324</v>
      </c>
      <c r="E30" s="13" t="s">
        <v>354</v>
      </c>
      <c r="F30" s="13"/>
      <c r="G30" s="10">
        <v>17999</v>
      </c>
      <c r="H30" s="7" t="s">
        <v>84</v>
      </c>
      <c r="I30" s="7" t="s">
        <v>96</v>
      </c>
      <c r="J30" s="7" t="s">
        <v>86</v>
      </c>
      <c r="K30" s="7" t="s">
        <v>90</v>
      </c>
      <c r="L30" s="7" t="s">
        <v>87</v>
      </c>
    </row>
    <row r="31" spans="1:12" ht="29" x14ac:dyDescent="0.35">
      <c r="A31" s="8" t="s">
        <v>221</v>
      </c>
      <c r="B31" s="9" t="s">
        <v>232</v>
      </c>
      <c r="C31" s="4" t="s">
        <v>281</v>
      </c>
      <c r="D31" s="13" t="s">
        <v>325</v>
      </c>
      <c r="E31" s="13"/>
      <c r="F31" s="13"/>
      <c r="G31" s="10">
        <v>19999</v>
      </c>
      <c r="H31" s="7" t="s">
        <v>84</v>
      </c>
      <c r="I31" s="7" t="s">
        <v>79</v>
      </c>
      <c r="J31" s="7" t="s">
        <v>86</v>
      </c>
      <c r="K31" s="7" t="s">
        <v>90</v>
      </c>
      <c r="L31" s="7" t="s">
        <v>87</v>
      </c>
    </row>
    <row r="32" spans="1:12" ht="29" x14ac:dyDescent="0.35">
      <c r="A32" s="8" t="s">
        <v>221</v>
      </c>
      <c r="B32" s="9" t="s">
        <v>233</v>
      </c>
      <c r="C32" s="4" t="s">
        <v>282</v>
      </c>
      <c r="D32" s="13" t="s">
        <v>326</v>
      </c>
      <c r="E32" s="13" t="s">
        <v>355</v>
      </c>
      <c r="F32" s="13"/>
      <c r="G32" s="10">
        <v>19999</v>
      </c>
      <c r="H32" s="7" t="s">
        <v>84</v>
      </c>
      <c r="I32" s="7" t="s">
        <v>98</v>
      </c>
      <c r="J32" s="7" t="s">
        <v>86</v>
      </c>
      <c r="K32" s="7" t="s">
        <v>90</v>
      </c>
      <c r="L32" s="7" t="s">
        <v>87</v>
      </c>
    </row>
    <row r="33" spans="1:12" ht="29" x14ac:dyDescent="0.35">
      <c r="A33" s="8" t="s">
        <v>221</v>
      </c>
      <c r="B33" s="9" t="s">
        <v>234</v>
      </c>
      <c r="C33" s="4" t="s">
        <v>283</v>
      </c>
      <c r="D33" s="13" t="s">
        <v>327</v>
      </c>
      <c r="E33" s="13" t="s">
        <v>356</v>
      </c>
      <c r="F33" s="13"/>
      <c r="G33" s="10">
        <v>19999</v>
      </c>
      <c r="H33" s="7" t="s">
        <v>84</v>
      </c>
      <c r="I33" s="7" t="s">
        <v>96</v>
      </c>
      <c r="J33" s="7" t="s">
        <v>86</v>
      </c>
      <c r="K33" s="7" t="s">
        <v>90</v>
      </c>
      <c r="L33" s="7" t="s">
        <v>87</v>
      </c>
    </row>
    <row r="34" spans="1:12" ht="29" x14ac:dyDescent="0.35">
      <c r="A34" s="8" t="s">
        <v>221</v>
      </c>
      <c r="B34" s="9" t="s">
        <v>235</v>
      </c>
      <c r="C34" s="4" t="s">
        <v>284</v>
      </c>
      <c r="D34" s="13" t="s">
        <v>133</v>
      </c>
      <c r="E34" s="13" t="s">
        <v>133</v>
      </c>
      <c r="F34" s="13" t="s">
        <v>133</v>
      </c>
      <c r="G34" s="10">
        <v>25999</v>
      </c>
      <c r="H34" s="7" t="s">
        <v>78</v>
      </c>
      <c r="I34" s="7" t="s">
        <v>83</v>
      </c>
      <c r="J34" s="7" t="s">
        <v>86</v>
      </c>
      <c r="K34" s="7" t="s">
        <v>90</v>
      </c>
      <c r="L34" s="7" t="s">
        <v>82</v>
      </c>
    </row>
    <row r="35" spans="1:12" ht="29" x14ac:dyDescent="0.35">
      <c r="A35" s="8" t="s">
        <v>221</v>
      </c>
      <c r="B35" s="9" t="s">
        <v>236</v>
      </c>
      <c r="C35" s="4" t="s">
        <v>285</v>
      </c>
      <c r="D35" s="13" t="s">
        <v>133</v>
      </c>
      <c r="E35" s="13" t="s">
        <v>133</v>
      </c>
      <c r="F35" s="13" t="s">
        <v>133</v>
      </c>
      <c r="G35" s="10">
        <v>15999</v>
      </c>
      <c r="H35" s="7" t="s">
        <v>78</v>
      </c>
      <c r="I35" s="7" t="s">
        <v>135</v>
      </c>
      <c r="J35" s="7" t="s">
        <v>86</v>
      </c>
      <c r="K35" s="7" t="s">
        <v>90</v>
      </c>
      <c r="L35" s="7" t="s">
        <v>87</v>
      </c>
    </row>
    <row r="36" spans="1:12" ht="29" x14ac:dyDescent="0.35">
      <c r="A36" s="8" t="s">
        <v>178</v>
      </c>
      <c r="B36" s="9" t="s">
        <v>179</v>
      </c>
      <c r="C36" s="4" t="s">
        <v>286</v>
      </c>
      <c r="D36" s="13" t="s">
        <v>328</v>
      </c>
      <c r="E36" s="13" t="s">
        <v>357</v>
      </c>
      <c r="F36" s="13"/>
      <c r="G36" s="10">
        <v>16999</v>
      </c>
      <c r="H36" s="7" t="s">
        <v>78</v>
      </c>
      <c r="I36" s="7" t="s">
        <v>99</v>
      </c>
      <c r="J36" s="7" t="s">
        <v>86</v>
      </c>
      <c r="K36" s="7" t="s">
        <v>90</v>
      </c>
      <c r="L36" s="7" t="s">
        <v>87</v>
      </c>
    </row>
    <row r="37" spans="1:12" ht="29" x14ac:dyDescent="0.35">
      <c r="A37" s="8" t="s">
        <v>178</v>
      </c>
      <c r="B37" s="9" t="s">
        <v>180</v>
      </c>
      <c r="C37" s="4" t="s">
        <v>287</v>
      </c>
      <c r="D37" s="13" t="s">
        <v>329</v>
      </c>
      <c r="E37" s="13" t="s">
        <v>358</v>
      </c>
      <c r="F37" s="13"/>
      <c r="G37" s="10">
        <v>16999</v>
      </c>
      <c r="H37" s="7" t="s">
        <v>78</v>
      </c>
      <c r="I37" s="7" t="s">
        <v>98</v>
      </c>
      <c r="J37" s="7" t="s">
        <v>86</v>
      </c>
      <c r="K37" s="7" t="s">
        <v>90</v>
      </c>
      <c r="L37" s="7" t="s">
        <v>87</v>
      </c>
    </row>
    <row r="38" spans="1:12" ht="29" x14ac:dyDescent="0.35">
      <c r="A38" s="8" t="s">
        <v>178</v>
      </c>
      <c r="B38" s="9" t="s">
        <v>181</v>
      </c>
      <c r="C38" s="4" t="s">
        <v>288</v>
      </c>
      <c r="D38" s="13" t="s">
        <v>330</v>
      </c>
      <c r="E38" s="13" t="s">
        <v>359</v>
      </c>
      <c r="F38" s="13"/>
      <c r="G38" s="10">
        <v>16999</v>
      </c>
      <c r="H38" s="7" t="s">
        <v>78</v>
      </c>
      <c r="I38" s="7" t="s">
        <v>100</v>
      </c>
      <c r="J38" s="7" t="s">
        <v>86</v>
      </c>
      <c r="K38" s="7" t="s">
        <v>90</v>
      </c>
      <c r="L38" s="7" t="s">
        <v>87</v>
      </c>
    </row>
    <row r="39" spans="1:12" ht="29" x14ac:dyDescent="0.35">
      <c r="A39" s="8" t="s">
        <v>178</v>
      </c>
      <c r="B39" s="9" t="s">
        <v>182</v>
      </c>
      <c r="C39" s="4" t="s">
        <v>289</v>
      </c>
      <c r="D39" s="13" t="s">
        <v>331</v>
      </c>
      <c r="E39" s="13" t="s">
        <v>360</v>
      </c>
      <c r="F39" s="13"/>
      <c r="G39" s="10">
        <v>18999</v>
      </c>
      <c r="H39" s="7" t="s">
        <v>84</v>
      </c>
      <c r="I39" s="7" t="s">
        <v>96</v>
      </c>
      <c r="J39" s="7" t="s">
        <v>86</v>
      </c>
      <c r="K39" s="7" t="s">
        <v>93</v>
      </c>
      <c r="L39" s="7" t="s">
        <v>87</v>
      </c>
    </row>
    <row r="40" spans="1:12" ht="29" x14ac:dyDescent="0.35">
      <c r="A40" s="8" t="s">
        <v>178</v>
      </c>
      <c r="B40" s="9" t="s">
        <v>183</v>
      </c>
      <c r="C40" s="4" t="s">
        <v>290</v>
      </c>
      <c r="D40" s="13" t="s">
        <v>332</v>
      </c>
      <c r="E40" s="13" t="s">
        <v>361</v>
      </c>
      <c r="F40" s="13"/>
      <c r="G40" s="10">
        <v>18999</v>
      </c>
      <c r="H40" s="7" t="s">
        <v>84</v>
      </c>
      <c r="I40" s="7" t="s">
        <v>98</v>
      </c>
      <c r="J40" s="7" t="s">
        <v>86</v>
      </c>
      <c r="K40" s="7" t="s">
        <v>93</v>
      </c>
      <c r="L40" s="7" t="s">
        <v>87</v>
      </c>
    </row>
    <row r="41" spans="1:12" ht="29" x14ac:dyDescent="0.35">
      <c r="A41" s="8" t="s">
        <v>178</v>
      </c>
      <c r="B41" s="9" t="s">
        <v>184</v>
      </c>
      <c r="C41" s="4" t="s">
        <v>291</v>
      </c>
      <c r="D41" s="13" t="s">
        <v>333</v>
      </c>
      <c r="E41" s="13" t="s">
        <v>362</v>
      </c>
      <c r="F41" s="13"/>
      <c r="G41" s="10">
        <v>18999</v>
      </c>
      <c r="H41" s="7" t="s">
        <v>84</v>
      </c>
      <c r="I41" s="7" t="s">
        <v>100</v>
      </c>
      <c r="J41" s="7" t="s">
        <v>86</v>
      </c>
      <c r="K41" s="7" t="s">
        <v>93</v>
      </c>
      <c r="L41" s="7" t="s">
        <v>87</v>
      </c>
    </row>
    <row r="42" spans="1:12" ht="29" x14ac:dyDescent="0.35">
      <c r="A42" s="8" t="s">
        <v>178</v>
      </c>
      <c r="B42" s="9" t="s">
        <v>185</v>
      </c>
      <c r="C42" s="4" t="s">
        <v>292</v>
      </c>
      <c r="D42" s="13" t="s">
        <v>334</v>
      </c>
      <c r="E42" s="13"/>
      <c r="F42" s="13"/>
      <c r="G42" s="10">
        <v>21999</v>
      </c>
      <c r="H42" s="7" t="s">
        <v>84</v>
      </c>
      <c r="I42" s="7" t="s">
        <v>101</v>
      </c>
      <c r="J42" s="7" t="s">
        <v>86</v>
      </c>
      <c r="K42" s="7" t="s">
        <v>93</v>
      </c>
      <c r="L42" s="7" t="s">
        <v>87</v>
      </c>
    </row>
    <row r="43" spans="1:12" ht="29" x14ac:dyDescent="0.35">
      <c r="A43" s="8" t="s">
        <v>178</v>
      </c>
      <c r="B43" s="9" t="s">
        <v>186</v>
      </c>
      <c r="C43" s="4" t="s">
        <v>293</v>
      </c>
      <c r="D43" s="13" t="s">
        <v>335</v>
      </c>
      <c r="E43" s="13"/>
      <c r="F43" s="13"/>
      <c r="G43" s="10">
        <v>21999</v>
      </c>
      <c r="H43" s="7" t="s">
        <v>84</v>
      </c>
      <c r="I43" s="7" t="s">
        <v>96</v>
      </c>
      <c r="J43" s="7" t="s">
        <v>86</v>
      </c>
      <c r="K43" s="7" t="s">
        <v>93</v>
      </c>
      <c r="L43" s="7" t="s">
        <v>87</v>
      </c>
    </row>
    <row r="44" spans="1:12" ht="29" x14ac:dyDescent="0.35">
      <c r="A44" s="8" t="s">
        <v>187</v>
      </c>
      <c r="B44" s="9" t="s">
        <v>188</v>
      </c>
      <c r="C44" s="4" t="s">
        <v>294</v>
      </c>
      <c r="D44" s="13" t="s">
        <v>336</v>
      </c>
      <c r="E44" s="13"/>
      <c r="F44" s="13"/>
      <c r="G44" s="10">
        <v>22999</v>
      </c>
      <c r="H44" s="7" t="s">
        <v>78</v>
      </c>
      <c r="I44" s="7" t="s">
        <v>100</v>
      </c>
      <c r="J44" s="7" t="s">
        <v>80</v>
      </c>
      <c r="K44" s="7" t="s">
        <v>90</v>
      </c>
      <c r="L44" s="7" t="s">
        <v>82</v>
      </c>
    </row>
    <row r="45" spans="1:12" ht="29" x14ac:dyDescent="0.35">
      <c r="A45" s="8" t="s">
        <v>187</v>
      </c>
      <c r="B45" s="9" t="s">
        <v>189</v>
      </c>
      <c r="C45" s="4" t="s">
        <v>295</v>
      </c>
      <c r="D45" s="13" t="s">
        <v>337</v>
      </c>
      <c r="E45" s="13"/>
      <c r="F45" s="13"/>
      <c r="G45" s="10">
        <v>26999</v>
      </c>
      <c r="H45" s="7" t="s">
        <v>84</v>
      </c>
      <c r="I45" s="7" t="s">
        <v>100</v>
      </c>
      <c r="J45" s="7" t="s">
        <v>80</v>
      </c>
      <c r="K45" s="7" t="s">
        <v>90</v>
      </c>
      <c r="L45" s="7" t="s">
        <v>82</v>
      </c>
    </row>
    <row r="46" spans="1:12" ht="29" x14ac:dyDescent="0.35">
      <c r="A46" s="8" t="s">
        <v>187</v>
      </c>
      <c r="B46" s="9" t="s">
        <v>190</v>
      </c>
      <c r="C46" s="4" t="s">
        <v>296</v>
      </c>
      <c r="D46" s="13" t="s">
        <v>338</v>
      </c>
      <c r="E46" s="13" t="s">
        <v>363</v>
      </c>
      <c r="F46" s="13"/>
      <c r="G46" s="10">
        <v>28999</v>
      </c>
      <c r="H46" s="7" t="s">
        <v>84</v>
      </c>
      <c r="I46" s="7" t="s">
        <v>100</v>
      </c>
      <c r="J46" s="7" t="s">
        <v>80</v>
      </c>
      <c r="K46" s="7" t="s">
        <v>81</v>
      </c>
      <c r="L46" s="7" t="s">
        <v>82</v>
      </c>
    </row>
  </sheetData>
  <phoneticPr fontId="20" type="noConversion"/>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7"/>
  <sheetViews>
    <sheetView zoomScaleNormal="100" workbookViewId="0"/>
  </sheetViews>
  <sheetFormatPr defaultColWidth="8.6328125" defaultRowHeight="14.5" x14ac:dyDescent="0.35"/>
  <cols>
    <col min="1" max="1" width="12.90625" style="3" bestFit="1" customWidth="1"/>
    <col min="2" max="2" width="34.26953125" style="3" bestFit="1" customWidth="1"/>
    <col min="3" max="3" width="20.26953125" style="3" bestFit="1" customWidth="1"/>
    <col min="4" max="4" width="10.26953125" style="3" bestFit="1" customWidth="1"/>
    <col min="5" max="5" width="11.1796875" style="3" bestFit="1" customWidth="1"/>
    <col min="6" max="6" width="25.90625" style="3" bestFit="1" customWidth="1"/>
    <col min="7" max="7" width="18.08984375" style="3" bestFit="1" customWidth="1"/>
    <col min="8" max="8" width="21.7265625" style="3" bestFit="1" customWidth="1"/>
    <col min="9" max="9" width="22.1796875" style="3" bestFit="1" customWidth="1"/>
    <col min="10" max="10" width="20.81640625" style="3" bestFit="1" customWidth="1"/>
    <col min="11" max="12" width="21.36328125" style="3" bestFit="1" customWidth="1"/>
    <col min="13" max="13" width="22.7265625" style="3" bestFit="1" customWidth="1"/>
    <col min="14" max="14" width="38.54296875" style="3" bestFit="1" customWidth="1"/>
    <col min="15" max="15" width="21.36328125" style="3" bestFit="1" customWidth="1"/>
    <col min="16" max="16" width="21.90625" style="3" bestFit="1" customWidth="1"/>
    <col min="17" max="17" width="20.54296875" style="3" bestFit="1" customWidth="1"/>
    <col min="18" max="18" width="22.90625" style="3" bestFit="1" customWidth="1"/>
    <col min="19" max="19" width="23.1796875" style="3" bestFit="1" customWidth="1"/>
    <col min="20" max="20" width="8.6328125" style="3" customWidth="1"/>
    <col min="21" max="16384" width="8.6328125" style="3"/>
  </cols>
  <sheetData>
    <row r="1" spans="1:19" ht="37" x14ac:dyDescent="0.35">
      <c r="A1" s="11" t="s">
        <v>65</v>
      </c>
      <c r="B1" s="11" t="s">
        <v>102</v>
      </c>
      <c r="C1" s="11" t="s">
        <v>67</v>
      </c>
      <c r="D1" s="11" t="s">
        <v>68</v>
      </c>
      <c r="E1" s="11" t="s">
        <v>69</v>
      </c>
      <c r="F1" s="12" t="s">
        <v>70</v>
      </c>
      <c r="G1" s="11" t="s">
        <v>56</v>
      </c>
      <c r="H1" s="11" t="s">
        <v>103</v>
      </c>
      <c r="I1" s="11" t="s">
        <v>104</v>
      </c>
      <c r="J1" s="11" t="s">
        <v>105</v>
      </c>
      <c r="K1" s="11" t="s">
        <v>137</v>
      </c>
      <c r="L1" s="11" t="s">
        <v>136</v>
      </c>
      <c r="M1" s="11" t="s">
        <v>138</v>
      </c>
      <c r="N1" s="11" t="s">
        <v>106</v>
      </c>
      <c r="O1" s="11" t="s">
        <v>107</v>
      </c>
      <c r="P1" s="11" t="s">
        <v>108</v>
      </c>
      <c r="Q1" s="11" t="s">
        <v>109</v>
      </c>
      <c r="R1" s="11" t="s">
        <v>55</v>
      </c>
      <c r="S1" s="11" t="s">
        <v>110</v>
      </c>
    </row>
    <row r="2" spans="1:19" x14ac:dyDescent="0.35">
      <c r="A2" s="13" t="s">
        <v>156</v>
      </c>
      <c r="B2" s="13" t="s">
        <v>217</v>
      </c>
      <c r="C2" s="13" t="s">
        <v>252</v>
      </c>
      <c r="D2" s="13" t="s">
        <v>297</v>
      </c>
      <c r="E2" s="13"/>
      <c r="F2" s="13"/>
      <c r="G2" s="13">
        <v>5</v>
      </c>
      <c r="H2" s="13">
        <v>11</v>
      </c>
      <c r="I2" s="13"/>
      <c r="J2" s="13"/>
      <c r="K2" s="13">
        <v>1</v>
      </c>
      <c r="L2" s="13">
        <v>5</v>
      </c>
      <c r="M2" s="13"/>
      <c r="N2" s="13"/>
      <c r="O2" s="13">
        <v>7</v>
      </c>
      <c r="P2" s="13"/>
      <c r="Q2" s="13"/>
      <c r="R2" s="13">
        <f t="shared" ref="R2:R46" si="0">SUM(G2,H2:J2)</f>
        <v>16</v>
      </c>
      <c r="S2" s="13">
        <f t="shared" ref="S2:S46" si="1">SUM(O2:Q2)</f>
        <v>7</v>
      </c>
    </row>
    <row r="3" spans="1:19" x14ac:dyDescent="0.35">
      <c r="A3" s="13" t="s">
        <v>156</v>
      </c>
      <c r="B3" s="13" t="s">
        <v>218</v>
      </c>
      <c r="C3" s="13" t="s">
        <v>253</v>
      </c>
      <c r="D3" s="13" t="s">
        <v>298</v>
      </c>
      <c r="E3" s="13"/>
      <c r="F3" s="13"/>
      <c r="G3" s="13">
        <v>7</v>
      </c>
      <c r="H3" s="13">
        <v>3</v>
      </c>
      <c r="I3" s="13"/>
      <c r="J3" s="13"/>
      <c r="K3" s="13"/>
      <c r="L3" s="13">
        <v>6</v>
      </c>
      <c r="M3" s="13"/>
      <c r="N3" s="13"/>
      <c r="O3" s="13">
        <v>7</v>
      </c>
      <c r="P3" s="13"/>
      <c r="Q3" s="13"/>
      <c r="R3" s="13">
        <f t="shared" si="0"/>
        <v>10</v>
      </c>
      <c r="S3" s="13">
        <f t="shared" si="1"/>
        <v>7</v>
      </c>
    </row>
    <row r="4" spans="1:19" x14ac:dyDescent="0.35">
      <c r="A4" s="13" t="s">
        <v>156</v>
      </c>
      <c r="B4" s="13" t="s">
        <v>219</v>
      </c>
      <c r="C4" s="13" t="s">
        <v>254</v>
      </c>
      <c r="D4" s="13" t="s">
        <v>299</v>
      </c>
      <c r="E4" s="13"/>
      <c r="F4" s="13"/>
      <c r="G4" s="13"/>
      <c r="H4" s="13">
        <v>11</v>
      </c>
      <c r="I4" s="13"/>
      <c r="J4" s="13"/>
      <c r="K4" s="13">
        <v>1</v>
      </c>
      <c r="L4" s="13">
        <v>2</v>
      </c>
      <c r="M4" s="13"/>
      <c r="N4" s="13"/>
      <c r="O4" s="13">
        <v>5</v>
      </c>
      <c r="P4" s="13"/>
      <c r="Q4" s="13"/>
      <c r="R4" s="13">
        <f t="shared" si="0"/>
        <v>11</v>
      </c>
      <c r="S4" s="13">
        <f t="shared" si="1"/>
        <v>5</v>
      </c>
    </row>
    <row r="5" spans="1:19" x14ac:dyDescent="0.35">
      <c r="A5" s="13" t="s">
        <v>156</v>
      </c>
      <c r="B5" s="13" t="s">
        <v>220</v>
      </c>
      <c r="C5" s="13" t="s">
        <v>255</v>
      </c>
      <c r="D5" s="13" t="s">
        <v>300</v>
      </c>
      <c r="E5" s="13"/>
      <c r="F5" s="13"/>
      <c r="G5" s="13">
        <v>7</v>
      </c>
      <c r="H5" s="13">
        <v>8</v>
      </c>
      <c r="I5" s="13"/>
      <c r="J5" s="13"/>
      <c r="K5" s="13"/>
      <c r="L5" s="13">
        <v>2</v>
      </c>
      <c r="M5" s="13"/>
      <c r="N5" s="13"/>
      <c r="O5" s="13">
        <v>3</v>
      </c>
      <c r="P5" s="13"/>
      <c r="Q5" s="13"/>
      <c r="R5" s="13">
        <f t="shared" si="0"/>
        <v>15</v>
      </c>
      <c r="S5" s="13">
        <f t="shared" si="1"/>
        <v>3</v>
      </c>
    </row>
    <row r="6" spans="1:19" x14ac:dyDescent="0.35">
      <c r="A6" s="13" t="s">
        <v>161</v>
      </c>
      <c r="B6" s="13" t="s">
        <v>211</v>
      </c>
      <c r="C6" s="13" t="s">
        <v>256</v>
      </c>
      <c r="D6" s="13" t="s">
        <v>301</v>
      </c>
      <c r="E6" s="13"/>
      <c r="F6" s="13"/>
      <c r="G6" s="13"/>
      <c r="H6" s="13">
        <v>40</v>
      </c>
      <c r="I6" s="13"/>
      <c r="J6" s="13"/>
      <c r="K6" s="13"/>
      <c r="L6" s="13"/>
      <c r="M6" s="13"/>
      <c r="N6" s="13"/>
      <c r="O6" s="13">
        <v>0</v>
      </c>
      <c r="P6" s="13"/>
      <c r="Q6" s="13"/>
      <c r="R6" s="13">
        <f t="shared" si="0"/>
        <v>40</v>
      </c>
      <c r="S6" s="13">
        <f t="shared" si="1"/>
        <v>0</v>
      </c>
    </row>
    <row r="7" spans="1:19" x14ac:dyDescent="0.35">
      <c r="A7" s="13" t="s">
        <v>161</v>
      </c>
      <c r="B7" s="13" t="s">
        <v>212</v>
      </c>
      <c r="C7" s="13" t="s">
        <v>257</v>
      </c>
      <c r="D7" s="13" t="s">
        <v>302</v>
      </c>
      <c r="E7" s="13"/>
      <c r="F7" s="13"/>
      <c r="G7" s="13">
        <v>1</v>
      </c>
      <c r="H7" s="13">
        <v>8</v>
      </c>
      <c r="I7" s="13"/>
      <c r="J7" s="13"/>
      <c r="K7" s="13"/>
      <c r="L7" s="13">
        <v>1</v>
      </c>
      <c r="M7" s="13"/>
      <c r="N7" s="13"/>
      <c r="O7" s="13">
        <v>1</v>
      </c>
      <c r="P7" s="13"/>
      <c r="Q7" s="13"/>
      <c r="R7" s="13">
        <f t="shared" si="0"/>
        <v>9</v>
      </c>
      <c r="S7" s="13">
        <f t="shared" si="1"/>
        <v>1</v>
      </c>
    </row>
    <row r="8" spans="1:19" x14ac:dyDescent="0.35">
      <c r="A8" s="13" t="s">
        <v>161</v>
      </c>
      <c r="B8" s="13" t="s">
        <v>213</v>
      </c>
      <c r="C8" s="13" t="s">
        <v>258</v>
      </c>
      <c r="D8" s="13" t="s">
        <v>303</v>
      </c>
      <c r="E8" s="13" t="s">
        <v>339</v>
      </c>
      <c r="F8" s="13" t="s">
        <v>364</v>
      </c>
      <c r="G8" s="13">
        <v>5</v>
      </c>
      <c r="H8" s="13">
        <v>64</v>
      </c>
      <c r="I8" s="13">
        <v>14</v>
      </c>
      <c r="J8" s="13">
        <v>4</v>
      </c>
      <c r="K8" s="13"/>
      <c r="L8" s="13"/>
      <c r="M8" s="13">
        <v>1</v>
      </c>
      <c r="N8" s="13">
        <v>1</v>
      </c>
      <c r="O8" s="13">
        <v>1</v>
      </c>
      <c r="P8" s="13">
        <v>2</v>
      </c>
      <c r="Q8" s="13">
        <v>1</v>
      </c>
      <c r="R8" s="13">
        <f t="shared" si="0"/>
        <v>87</v>
      </c>
      <c r="S8" s="13">
        <f t="shared" si="1"/>
        <v>4</v>
      </c>
    </row>
    <row r="9" spans="1:19" x14ac:dyDescent="0.35">
      <c r="A9" s="13" t="s">
        <v>161</v>
      </c>
      <c r="B9" s="13" t="s">
        <v>214</v>
      </c>
      <c r="C9" s="13" t="s">
        <v>259</v>
      </c>
      <c r="D9" s="13" t="s">
        <v>304</v>
      </c>
      <c r="E9" s="13" t="s">
        <v>340</v>
      </c>
      <c r="F9" s="13" t="s">
        <v>365</v>
      </c>
      <c r="G9" s="13">
        <v>132</v>
      </c>
      <c r="H9" s="13">
        <v>43</v>
      </c>
      <c r="I9" s="13">
        <v>19</v>
      </c>
      <c r="J9" s="13">
        <v>1</v>
      </c>
      <c r="K9" s="13"/>
      <c r="L9" s="13"/>
      <c r="M9" s="13"/>
      <c r="N9" s="13">
        <v>4</v>
      </c>
      <c r="O9" s="13">
        <v>0</v>
      </c>
      <c r="P9" s="13">
        <v>0</v>
      </c>
      <c r="Q9" s="13">
        <v>4</v>
      </c>
      <c r="R9" s="13">
        <f t="shared" si="0"/>
        <v>195</v>
      </c>
      <c r="S9" s="13">
        <f t="shared" si="1"/>
        <v>4</v>
      </c>
    </row>
    <row r="10" spans="1:19" x14ac:dyDescent="0.35">
      <c r="A10" s="13" t="s">
        <v>161</v>
      </c>
      <c r="B10" s="13" t="s">
        <v>215</v>
      </c>
      <c r="C10" s="13" t="s">
        <v>260</v>
      </c>
      <c r="D10" s="13" t="s">
        <v>305</v>
      </c>
      <c r="E10" s="13"/>
      <c r="F10" s="13"/>
      <c r="G10" s="13"/>
      <c r="H10" s="13">
        <v>10</v>
      </c>
      <c r="I10" s="13"/>
      <c r="J10" s="13"/>
      <c r="K10" s="13"/>
      <c r="L10" s="13"/>
      <c r="M10" s="13"/>
      <c r="N10" s="13"/>
      <c r="O10" s="13">
        <v>0</v>
      </c>
      <c r="P10" s="13"/>
      <c r="Q10" s="13"/>
      <c r="R10" s="13">
        <f t="shared" si="0"/>
        <v>10</v>
      </c>
      <c r="S10" s="13">
        <f t="shared" si="1"/>
        <v>0</v>
      </c>
    </row>
    <row r="11" spans="1:19" x14ac:dyDescent="0.35">
      <c r="A11" s="13" t="s">
        <v>161</v>
      </c>
      <c r="B11" s="13" t="s">
        <v>216</v>
      </c>
      <c r="C11" s="13" t="s">
        <v>261</v>
      </c>
      <c r="D11" s="13" t="s">
        <v>306</v>
      </c>
      <c r="E11" s="13"/>
      <c r="F11" s="13"/>
      <c r="G11" s="13"/>
      <c r="H11" s="13">
        <v>10</v>
      </c>
      <c r="I11" s="13"/>
      <c r="J11" s="13"/>
      <c r="K11" s="13"/>
      <c r="L11" s="13"/>
      <c r="M11" s="13"/>
      <c r="N11" s="13"/>
      <c r="O11" s="13">
        <v>0</v>
      </c>
      <c r="P11" s="13"/>
      <c r="Q11" s="13"/>
      <c r="R11" s="13">
        <f t="shared" si="0"/>
        <v>10</v>
      </c>
      <c r="S11" s="13">
        <f t="shared" si="1"/>
        <v>0</v>
      </c>
    </row>
    <row r="12" spans="1:19" x14ac:dyDescent="0.35">
      <c r="A12" s="13" t="s">
        <v>168</v>
      </c>
      <c r="B12" s="13" t="s">
        <v>202</v>
      </c>
      <c r="C12" s="13" t="s">
        <v>262</v>
      </c>
      <c r="D12" s="13" t="s">
        <v>307</v>
      </c>
      <c r="E12" s="13" t="s">
        <v>342</v>
      </c>
      <c r="F12" s="13" t="s">
        <v>366</v>
      </c>
      <c r="G12" s="13">
        <v>98</v>
      </c>
      <c r="H12" s="13">
        <v>43</v>
      </c>
      <c r="I12" s="13">
        <v>12</v>
      </c>
      <c r="J12" s="13">
        <v>4</v>
      </c>
      <c r="K12" s="13">
        <v>6</v>
      </c>
      <c r="L12" s="13">
        <v>3</v>
      </c>
      <c r="M12" s="13">
        <v>2</v>
      </c>
      <c r="N12" s="13">
        <v>1</v>
      </c>
      <c r="O12" s="13">
        <v>13</v>
      </c>
      <c r="P12" s="13">
        <v>2</v>
      </c>
      <c r="Q12" s="13">
        <v>1</v>
      </c>
      <c r="R12" s="13">
        <f t="shared" si="0"/>
        <v>157</v>
      </c>
      <c r="S12" s="13">
        <f t="shared" si="1"/>
        <v>16</v>
      </c>
    </row>
    <row r="13" spans="1:19" x14ac:dyDescent="0.35">
      <c r="A13" s="13" t="s">
        <v>168</v>
      </c>
      <c r="B13" s="13" t="s">
        <v>203</v>
      </c>
      <c r="C13" s="13" t="s">
        <v>263</v>
      </c>
      <c r="D13" s="13" t="s">
        <v>308</v>
      </c>
      <c r="E13" s="13" t="s">
        <v>343</v>
      </c>
      <c r="F13" s="13"/>
      <c r="G13" s="13">
        <v>114</v>
      </c>
      <c r="H13" s="13">
        <v>23</v>
      </c>
      <c r="I13" s="13">
        <v>6</v>
      </c>
      <c r="J13" s="13"/>
      <c r="K13" s="13"/>
      <c r="L13" s="13"/>
      <c r="M13" s="13"/>
      <c r="N13" s="13"/>
      <c r="O13" s="13">
        <v>0</v>
      </c>
      <c r="P13" s="13">
        <v>0</v>
      </c>
      <c r="Q13" s="13"/>
      <c r="R13" s="13">
        <f t="shared" si="0"/>
        <v>143</v>
      </c>
      <c r="S13" s="13">
        <f t="shared" si="1"/>
        <v>0</v>
      </c>
    </row>
    <row r="14" spans="1:19" x14ac:dyDescent="0.35">
      <c r="A14" s="13" t="s">
        <v>168</v>
      </c>
      <c r="B14" s="13" t="s">
        <v>204</v>
      </c>
      <c r="C14" s="13" t="s">
        <v>264</v>
      </c>
      <c r="D14" s="13" t="s">
        <v>309</v>
      </c>
      <c r="E14" s="13" t="s">
        <v>344</v>
      </c>
      <c r="F14" s="13"/>
      <c r="G14" s="13">
        <v>111</v>
      </c>
      <c r="H14" s="13">
        <v>23</v>
      </c>
      <c r="I14" s="13">
        <v>8</v>
      </c>
      <c r="J14" s="13"/>
      <c r="K14" s="13"/>
      <c r="L14" s="13"/>
      <c r="M14" s="13">
        <v>1</v>
      </c>
      <c r="N14" s="13"/>
      <c r="O14" s="13">
        <v>0</v>
      </c>
      <c r="P14" s="13">
        <v>1</v>
      </c>
      <c r="Q14" s="13"/>
      <c r="R14" s="13">
        <f t="shared" si="0"/>
        <v>142</v>
      </c>
      <c r="S14" s="13">
        <f t="shared" si="1"/>
        <v>1</v>
      </c>
    </row>
    <row r="15" spans="1:19" x14ac:dyDescent="0.35">
      <c r="A15" s="13" t="s">
        <v>168</v>
      </c>
      <c r="B15" s="13" t="s">
        <v>205</v>
      </c>
      <c r="C15" s="13" t="s">
        <v>265</v>
      </c>
      <c r="D15" s="13" t="s">
        <v>310</v>
      </c>
      <c r="E15" s="13" t="s">
        <v>345</v>
      </c>
      <c r="F15" s="13" t="s">
        <v>367</v>
      </c>
      <c r="G15" s="13">
        <v>163</v>
      </c>
      <c r="H15" s="13">
        <v>19</v>
      </c>
      <c r="I15" s="13">
        <v>34</v>
      </c>
      <c r="J15" s="13">
        <v>4</v>
      </c>
      <c r="K15" s="13">
        <v>6</v>
      </c>
      <c r="L15" s="13">
        <v>3</v>
      </c>
      <c r="M15" s="13">
        <v>5</v>
      </c>
      <c r="N15" s="13">
        <v>1</v>
      </c>
      <c r="O15" s="13">
        <v>12</v>
      </c>
      <c r="P15" s="13">
        <v>6</v>
      </c>
      <c r="Q15" s="13">
        <v>1</v>
      </c>
      <c r="R15" s="13">
        <f t="shared" si="0"/>
        <v>220</v>
      </c>
      <c r="S15" s="13">
        <f t="shared" si="1"/>
        <v>19</v>
      </c>
    </row>
    <row r="16" spans="1:19" x14ac:dyDescent="0.35">
      <c r="A16" s="13" t="s">
        <v>168</v>
      </c>
      <c r="B16" s="13" t="s">
        <v>206</v>
      </c>
      <c r="C16" s="13" t="s">
        <v>266</v>
      </c>
      <c r="D16" s="13" t="s">
        <v>311</v>
      </c>
      <c r="E16" s="13" t="s">
        <v>346</v>
      </c>
      <c r="F16" s="13"/>
      <c r="G16" s="13">
        <v>48</v>
      </c>
      <c r="H16" s="13">
        <v>30</v>
      </c>
      <c r="I16" s="13">
        <v>19</v>
      </c>
      <c r="J16" s="13"/>
      <c r="K16" s="13"/>
      <c r="L16" s="13"/>
      <c r="M16" s="13"/>
      <c r="N16" s="13"/>
      <c r="O16" s="13">
        <v>0</v>
      </c>
      <c r="P16" s="13">
        <v>0</v>
      </c>
      <c r="Q16" s="13"/>
      <c r="R16" s="13">
        <f t="shared" si="0"/>
        <v>97</v>
      </c>
      <c r="S16" s="13">
        <f t="shared" si="1"/>
        <v>0</v>
      </c>
    </row>
    <row r="17" spans="1:19" x14ac:dyDescent="0.35">
      <c r="A17" s="13" t="s">
        <v>168</v>
      </c>
      <c r="B17" s="13" t="s">
        <v>207</v>
      </c>
      <c r="C17" s="13" t="s">
        <v>267</v>
      </c>
      <c r="D17" s="13" t="s">
        <v>312</v>
      </c>
      <c r="E17" s="13" t="s">
        <v>347</v>
      </c>
      <c r="F17" s="13"/>
      <c r="G17" s="13">
        <v>254</v>
      </c>
      <c r="H17" s="13">
        <v>30</v>
      </c>
      <c r="I17" s="13">
        <v>19</v>
      </c>
      <c r="J17" s="13"/>
      <c r="K17" s="13"/>
      <c r="L17" s="13"/>
      <c r="M17" s="13"/>
      <c r="N17" s="13"/>
      <c r="O17" s="13">
        <v>0</v>
      </c>
      <c r="P17" s="13">
        <v>0</v>
      </c>
      <c r="Q17" s="13"/>
      <c r="R17" s="13">
        <f t="shared" si="0"/>
        <v>303</v>
      </c>
      <c r="S17" s="13">
        <f t="shared" si="1"/>
        <v>0</v>
      </c>
    </row>
    <row r="18" spans="1:19" x14ac:dyDescent="0.35">
      <c r="A18" s="13" t="s">
        <v>168</v>
      </c>
      <c r="B18" s="13" t="s">
        <v>208</v>
      </c>
      <c r="C18" s="13" t="s">
        <v>268</v>
      </c>
      <c r="D18" s="13" t="s">
        <v>313</v>
      </c>
      <c r="E18" s="13" t="s">
        <v>348</v>
      </c>
      <c r="F18" s="13"/>
      <c r="G18" s="13">
        <v>66</v>
      </c>
      <c r="H18" s="13">
        <v>29</v>
      </c>
      <c r="I18" s="13"/>
      <c r="J18" s="13"/>
      <c r="K18" s="13">
        <v>1</v>
      </c>
      <c r="L18" s="13"/>
      <c r="M18" s="13">
        <v>1</v>
      </c>
      <c r="N18" s="13"/>
      <c r="O18" s="13">
        <v>1</v>
      </c>
      <c r="P18" s="13">
        <v>3</v>
      </c>
      <c r="Q18" s="13"/>
      <c r="R18" s="13">
        <f t="shared" si="0"/>
        <v>95</v>
      </c>
      <c r="S18" s="13">
        <f t="shared" si="1"/>
        <v>4</v>
      </c>
    </row>
    <row r="19" spans="1:19" x14ac:dyDescent="0.35">
      <c r="A19" s="13" t="s">
        <v>168</v>
      </c>
      <c r="B19" s="13" t="s">
        <v>209</v>
      </c>
      <c r="C19" s="13" t="s">
        <v>269</v>
      </c>
      <c r="D19" s="13" t="s">
        <v>314</v>
      </c>
      <c r="E19" s="13" t="s">
        <v>349</v>
      </c>
      <c r="F19" s="13" t="s">
        <v>368</v>
      </c>
      <c r="G19" s="13">
        <v>54</v>
      </c>
      <c r="H19" s="13">
        <v>41</v>
      </c>
      <c r="I19" s="13">
        <v>24</v>
      </c>
      <c r="J19" s="13">
        <v>4</v>
      </c>
      <c r="K19" s="13">
        <v>7</v>
      </c>
      <c r="L19" s="13">
        <v>4</v>
      </c>
      <c r="M19" s="13">
        <v>1</v>
      </c>
      <c r="N19" s="13">
        <v>1</v>
      </c>
      <c r="O19" s="13">
        <v>11</v>
      </c>
      <c r="P19" s="13">
        <v>1</v>
      </c>
      <c r="Q19" s="13">
        <v>1</v>
      </c>
      <c r="R19" s="13">
        <f>SUM(G19,H19:J19)</f>
        <v>123</v>
      </c>
      <c r="S19" s="13">
        <f>SUM(O19:Q19)</f>
        <v>13</v>
      </c>
    </row>
    <row r="20" spans="1:19" s="7" customFormat="1" x14ac:dyDescent="0.35">
      <c r="A20" s="13" t="s">
        <v>168</v>
      </c>
      <c r="B20" s="13" t="s">
        <v>210</v>
      </c>
      <c r="C20" s="13" t="s">
        <v>270</v>
      </c>
      <c r="D20" s="13" t="s">
        <v>133</v>
      </c>
      <c r="E20" s="13" t="s">
        <v>133</v>
      </c>
      <c r="F20" s="13" t="s">
        <v>133</v>
      </c>
      <c r="G20" s="13">
        <v>100</v>
      </c>
      <c r="H20" s="13"/>
      <c r="I20" s="13"/>
      <c r="J20" s="13"/>
      <c r="K20" s="13"/>
      <c r="L20" s="13"/>
      <c r="M20" s="13"/>
      <c r="N20" s="13"/>
      <c r="O20" s="13"/>
      <c r="P20" s="13"/>
      <c r="Q20" s="13"/>
      <c r="R20" s="13">
        <f t="shared" ref="R20" si="2">SUM(G20,H20:J20)</f>
        <v>100</v>
      </c>
      <c r="S20" s="13">
        <f t="shared" ref="S20" si="3">SUM(O20:Q20)</f>
        <v>0</v>
      </c>
    </row>
    <row r="21" spans="1:19" x14ac:dyDescent="0.35">
      <c r="A21" s="13" t="s">
        <v>221</v>
      </c>
      <c r="B21" s="13" t="s">
        <v>237</v>
      </c>
      <c r="C21" s="13" t="s">
        <v>271</v>
      </c>
      <c r="D21" s="13" t="s">
        <v>315</v>
      </c>
      <c r="E21" s="13" t="s">
        <v>350</v>
      </c>
      <c r="F21" s="13" t="s">
        <v>369</v>
      </c>
      <c r="G21" s="13">
        <v>3</v>
      </c>
      <c r="H21" s="13">
        <v>34</v>
      </c>
      <c r="I21" s="13">
        <v>61</v>
      </c>
      <c r="J21" s="13"/>
      <c r="K21" s="13">
        <v>11</v>
      </c>
      <c r="L21" s="13">
        <v>2</v>
      </c>
      <c r="M21" s="13">
        <v>7</v>
      </c>
      <c r="N21" s="13">
        <v>3</v>
      </c>
      <c r="O21" s="13">
        <v>15</v>
      </c>
      <c r="P21" s="13">
        <v>10</v>
      </c>
      <c r="Q21" s="13">
        <v>3</v>
      </c>
      <c r="R21" s="13">
        <f t="shared" si="0"/>
        <v>98</v>
      </c>
      <c r="S21" s="13">
        <f t="shared" si="1"/>
        <v>28</v>
      </c>
    </row>
    <row r="22" spans="1:19" x14ac:dyDescent="0.35">
      <c r="A22" s="13" t="s">
        <v>221</v>
      </c>
      <c r="B22" s="13" t="s">
        <v>238</v>
      </c>
      <c r="C22" s="13" t="s">
        <v>272</v>
      </c>
      <c r="D22" s="13" t="s">
        <v>316</v>
      </c>
      <c r="E22" s="13" t="s">
        <v>341</v>
      </c>
      <c r="F22" s="13" t="s">
        <v>370</v>
      </c>
      <c r="G22" s="13">
        <v>6</v>
      </c>
      <c r="H22" s="13">
        <v>32</v>
      </c>
      <c r="I22" s="13">
        <v>14</v>
      </c>
      <c r="J22" s="13">
        <v>1</v>
      </c>
      <c r="K22" s="13">
        <v>1</v>
      </c>
      <c r="L22" s="13"/>
      <c r="M22" s="13"/>
      <c r="N22" s="13">
        <v>1</v>
      </c>
      <c r="O22" s="13">
        <v>2</v>
      </c>
      <c r="P22" s="13">
        <v>0</v>
      </c>
      <c r="Q22" s="13">
        <v>1</v>
      </c>
      <c r="R22" s="13">
        <f t="shared" si="0"/>
        <v>53</v>
      </c>
      <c r="S22" s="13">
        <f t="shared" si="1"/>
        <v>3</v>
      </c>
    </row>
    <row r="23" spans="1:19" x14ac:dyDescent="0.35">
      <c r="A23" s="13" t="s">
        <v>221</v>
      </c>
      <c r="B23" s="13" t="s">
        <v>239</v>
      </c>
      <c r="C23" s="13" t="s">
        <v>273</v>
      </c>
      <c r="D23" s="13" t="s">
        <v>317</v>
      </c>
      <c r="E23" s="13" t="s">
        <v>351</v>
      </c>
      <c r="F23" s="13"/>
      <c r="G23" s="13">
        <v>4</v>
      </c>
      <c r="H23" s="13">
        <v>22</v>
      </c>
      <c r="I23" s="13">
        <v>10</v>
      </c>
      <c r="J23" s="13"/>
      <c r="K23" s="13">
        <v>1</v>
      </c>
      <c r="L23" s="13"/>
      <c r="M23" s="13">
        <v>2</v>
      </c>
      <c r="N23" s="13"/>
      <c r="O23" s="13">
        <v>1</v>
      </c>
      <c r="P23" s="13">
        <v>2</v>
      </c>
      <c r="Q23" s="13"/>
      <c r="R23" s="13">
        <f t="shared" si="0"/>
        <v>36</v>
      </c>
      <c r="S23" s="13">
        <f t="shared" si="1"/>
        <v>3</v>
      </c>
    </row>
    <row r="24" spans="1:19" x14ac:dyDescent="0.35">
      <c r="A24" s="13" t="s">
        <v>221</v>
      </c>
      <c r="B24" s="13" t="s">
        <v>240</v>
      </c>
      <c r="C24" s="13" t="s">
        <v>274</v>
      </c>
      <c r="D24" s="13" t="s">
        <v>318</v>
      </c>
      <c r="E24" s="13" t="s">
        <v>352</v>
      </c>
      <c r="F24" s="13"/>
      <c r="G24" s="13">
        <v>138</v>
      </c>
      <c r="H24" s="13">
        <v>26</v>
      </c>
      <c r="I24" s="13">
        <v>8</v>
      </c>
      <c r="J24" s="13"/>
      <c r="K24" s="13"/>
      <c r="L24" s="13"/>
      <c r="M24" s="13"/>
      <c r="N24" s="13"/>
      <c r="O24" s="13">
        <v>0</v>
      </c>
      <c r="P24" s="13">
        <v>0</v>
      </c>
      <c r="Q24" s="13"/>
      <c r="R24" s="13">
        <f t="shared" si="0"/>
        <v>172</v>
      </c>
      <c r="S24" s="13">
        <f t="shared" si="1"/>
        <v>0</v>
      </c>
    </row>
    <row r="25" spans="1:19" x14ac:dyDescent="0.35">
      <c r="A25" s="13" t="s">
        <v>221</v>
      </c>
      <c r="B25" s="13" t="s">
        <v>241</v>
      </c>
      <c r="C25" s="13" t="s">
        <v>275</v>
      </c>
      <c r="D25" s="13" t="s">
        <v>319</v>
      </c>
      <c r="E25" s="13"/>
      <c r="F25" s="13"/>
      <c r="G25" s="13"/>
      <c r="H25" s="13">
        <v>6</v>
      </c>
      <c r="I25" s="13"/>
      <c r="J25" s="13"/>
      <c r="K25" s="13"/>
      <c r="L25" s="13"/>
      <c r="M25" s="13"/>
      <c r="N25" s="13"/>
      <c r="O25" s="13">
        <v>0</v>
      </c>
      <c r="P25" s="13"/>
      <c r="Q25" s="13"/>
      <c r="R25" s="13">
        <f t="shared" si="0"/>
        <v>6</v>
      </c>
      <c r="S25" s="13">
        <f t="shared" si="1"/>
        <v>0</v>
      </c>
    </row>
    <row r="26" spans="1:19" x14ac:dyDescent="0.35">
      <c r="A26" s="13" t="s">
        <v>221</v>
      </c>
      <c r="B26" s="13" t="s">
        <v>242</v>
      </c>
      <c r="C26" s="13" t="s">
        <v>276</v>
      </c>
      <c r="D26" s="13" t="s">
        <v>320</v>
      </c>
      <c r="E26" s="13"/>
      <c r="F26" s="13"/>
      <c r="G26" s="13">
        <v>1</v>
      </c>
      <c r="H26" s="13">
        <v>4</v>
      </c>
      <c r="I26" s="13"/>
      <c r="J26" s="13"/>
      <c r="K26" s="13">
        <v>1</v>
      </c>
      <c r="L26" s="13">
        <v>1</v>
      </c>
      <c r="M26" s="13"/>
      <c r="N26" s="13"/>
      <c r="O26" s="13">
        <v>2</v>
      </c>
      <c r="P26" s="13"/>
      <c r="Q26" s="13"/>
      <c r="R26" s="13">
        <f t="shared" si="0"/>
        <v>5</v>
      </c>
      <c r="S26" s="13">
        <f t="shared" si="1"/>
        <v>2</v>
      </c>
    </row>
    <row r="27" spans="1:19" x14ac:dyDescent="0.35">
      <c r="A27" s="13" t="s">
        <v>221</v>
      </c>
      <c r="B27" s="13" t="s">
        <v>243</v>
      </c>
      <c r="C27" s="13" t="s">
        <v>277</v>
      </c>
      <c r="D27" s="13" t="s">
        <v>321</v>
      </c>
      <c r="E27" s="13"/>
      <c r="F27" s="13"/>
      <c r="G27" s="13">
        <v>85</v>
      </c>
      <c r="H27" s="13">
        <v>19</v>
      </c>
      <c r="I27" s="13"/>
      <c r="J27" s="13"/>
      <c r="K27" s="13"/>
      <c r="L27" s="13"/>
      <c r="M27" s="13"/>
      <c r="N27" s="13"/>
      <c r="O27" s="13">
        <v>1</v>
      </c>
      <c r="P27" s="13"/>
      <c r="Q27" s="13"/>
      <c r="R27" s="13">
        <f t="shared" si="0"/>
        <v>104</v>
      </c>
      <c r="S27" s="13">
        <f t="shared" si="1"/>
        <v>1</v>
      </c>
    </row>
    <row r="28" spans="1:19" x14ac:dyDescent="0.35">
      <c r="A28" s="13" t="s">
        <v>221</v>
      </c>
      <c r="B28" s="13" t="s">
        <v>244</v>
      </c>
      <c r="C28" s="13" t="s">
        <v>278</v>
      </c>
      <c r="D28" s="13" t="s">
        <v>322</v>
      </c>
      <c r="E28" s="13" t="s">
        <v>353</v>
      </c>
      <c r="F28" s="13"/>
      <c r="G28" s="13">
        <v>253</v>
      </c>
      <c r="H28" s="13">
        <v>36</v>
      </c>
      <c r="I28" s="13">
        <v>11</v>
      </c>
      <c r="J28" s="13"/>
      <c r="K28" s="13"/>
      <c r="L28" s="13"/>
      <c r="M28" s="13"/>
      <c r="N28" s="13"/>
      <c r="O28" s="13">
        <v>0</v>
      </c>
      <c r="P28" s="13">
        <v>0</v>
      </c>
      <c r="Q28" s="13"/>
      <c r="R28" s="13">
        <f t="shared" si="0"/>
        <v>300</v>
      </c>
      <c r="S28" s="13">
        <f t="shared" si="1"/>
        <v>0</v>
      </c>
    </row>
    <row r="29" spans="1:19" x14ac:dyDescent="0.35">
      <c r="A29" s="13" t="s">
        <v>221</v>
      </c>
      <c r="B29" s="13" t="s">
        <v>245</v>
      </c>
      <c r="C29" s="13" t="s">
        <v>279</v>
      </c>
      <c r="D29" s="13" t="s">
        <v>323</v>
      </c>
      <c r="E29" s="13"/>
      <c r="F29" s="13"/>
      <c r="G29" s="13">
        <v>185</v>
      </c>
      <c r="H29" s="13">
        <v>9</v>
      </c>
      <c r="I29" s="13"/>
      <c r="J29" s="13"/>
      <c r="K29" s="13"/>
      <c r="L29" s="13"/>
      <c r="M29" s="13"/>
      <c r="N29" s="13"/>
      <c r="O29" s="13">
        <v>0</v>
      </c>
      <c r="P29" s="13"/>
      <c r="Q29" s="13"/>
      <c r="R29" s="13">
        <f t="shared" si="0"/>
        <v>194</v>
      </c>
      <c r="S29" s="13">
        <f t="shared" si="1"/>
        <v>0</v>
      </c>
    </row>
    <row r="30" spans="1:19" x14ac:dyDescent="0.35">
      <c r="A30" s="13" t="s">
        <v>221</v>
      </c>
      <c r="B30" s="13" t="s">
        <v>246</v>
      </c>
      <c r="C30" s="13" t="s">
        <v>280</v>
      </c>
      <c r="D30" s="13" t="s">
        <v>324</v>
      </c>
      <c r="E30" s="13" t="s">
        <v>354</v>
      </c>
      <c r="F30" s="13"/>
      <c r="G30" s="13">
        <v>97</v>
      </c>
      <c r="H30" s="13">
        <v>30</v>
      </c>
      <c r="I30" s="13">
        <v>12</v>
      </c>
      <c r="J30" s="13"/>
      <c r="K30" s="13"/>
      <c r="L30" s="13"/>
      <c r="M30" s="13"/>
      <c r="N30" s="13"/>
      <c r="O30" s="13">
        <v>0</v>
      </c>
      <c r="P30" s="13">
        <v>0</v>
      </c>
      <c r="Q30" s="13"/>
      <c r="R30" s="13">
        <f t="shared" si="0"/>
        <v>139</v>
      </c>
      <c r="S30" s="13">
        <f t="shared" si="1"/>
        <v>0</v>
      </c>
    </row>
    <row r="31" spans="1:19" x14ac:dyDescent="0.35">
      <c r="A31" s="13" t="s">
        <v>221</v>
      </c>
      <c r="B31" s="13" t="s">
        <v>247</v>
      </c>
      <c r="C31" s="13" t="s">
        <v>281</v>
      </c>
      <c r="D31" s="13" t="s">
        <v>325</v>
      </c>
      <c r="E31" s="13"/>
      <c r="F31" s="13"/>
      <c r="G31" s="13"/>
      <c r="H31" s="13">
        <v>14</v>
      </c>
      <c r="I31" s="13"/>
      <c r="J31" s="13"/>
      <c r="K31" s="13">
        <v>1</v>
      </c>
      <c r="L31" s="13"/>
      <c r="M31" s="13"/>
      <c r="N31" s="13"/>
      <c r="O31" s="13">
        <v>1</v>
      </c>
      <c r="P31" s="13"/>
      <c r="Q31" s="13"/>
      <c r="R31" s="13">
        <f t="shared" si="0"/>
        <v>14</v>
      </c>
      <c r="S31" s="13">
        <f t="shared" si="1"/>
        <v>1</v>
      </c>
    </row>
    <row r="32" spans="1:19" x14ac:dyDescent="0.35">
      <c r="A32" s="13" t="s">
        <v>221</v>
      </c>
      <c r="B32" s="13" t="s">
        <v>248</v>
      </c>
      <c r="C32" s="13" t="s">
        <v>282</v>
      </c>
      <c r="D32" s="13" t="s">
        <v>326</v>
      </c>
      <c r="E32" s="13" t="s">
        <v>355</v>
      </c>
      <c r="F32" s="13"/>
      <c r="G32" s="13">
        <v>54</v>
      </c>
      <c r="H32" s="13">
        <v>23</v>
      </c>
      <c r="I32" s="13">
        <v>15</v>
      </c>
      <c r="J32" s="13"/>
      <c r="K32" s="13"/>
      <c r="L32" s="13">
        <v>1</v>
      </c>
      <c r="M32" s="13">
        <v>1</v>
      </c>
      <c r="N32" s="13"/>
      <c r="O32" s="13">
        <v>1</v>
      </c>
      <c r="P32" s="13">
        <v>1</v>
      </c>
      <c r="Q32" s="13"/>
      <c r="R32" s="13">
        <f t="shared" si="0"/>
        <v>92</v>
      </c>
      <c r="S32" s="13">
        <f t="shared" si="1"/>
        <v>2</v>
      </c>
    </row>
    <row r="33" spans="1:19" x14ac:dyDescent="0.35">
      <c r="A33" s="13" t="s">
        <v>221</v>
      </c>
      <c r="B33" s="13" t="s">
        <v>249</v>
      </c>
      <c r="C33" s="13" t="s">
        <v>283</v>
      </c>
      <c r="D33" s="13" t="s">
        <v>327</v>
      </c>
      <c r="E33" s="13" t="s">
        <v>356</v>
      </c>
      <c r="F33" s="13"/>
      <c r="G33" s="13">
        <v>209</v>
      </c>
      <c r="H33" s="13">
        <v>40</v>
      </c>
      <c r="I33" s="13">
        <v>38</v>
      </c>
      <c r="J33" s="13"/>
      <c r="K33" s="13"/>
      <c r="L33" s="13"/>
      <c r="M33" s="13"/>
      <c r="N33" s="13"/>
      <c r="O33" s="13">
        <v>0</v>
      </c>
      <c r="P33" s="13">
        <v>1</v>
      </c>
      <c r="Q33" s="13"/>
      <c r="R33" s="13">
        <f t="shared" si="0"/>
        <v>287</v>
      </c>
      <c r="S33" s="13">
        <f t="shared" si="1"/>
        <v>1</v>
      </c>
    </row>
    <row r="34" spans="1:19" s="7" customFormat="1" x14ac:dyDescent="0.35">
      <c r="A34" s="13" t="s">
        <v>221</v>
      </c>
      <c r="B34" s="13" t="s">
        <v>250</v>
      </c>
      <c r="C34" s="13" t="s">
        <v>284</v>
      </c>
      <c r="D34" s="13" t="s">
        <v>133</v>
      </c>
      <c r="E34" s="13" t="s">
        <v>133</v>
      </c>
      <c r="F34" s="13" t="s">
        <v>133</v>
      </c>
      <c r="G34" s="13">
        <v>100</v>
      </c>
      <c r="H34" s="13"/>
      <c r="I34" s="13"/>
      <c r="J34" s="13"/>
      <c r="K34" s="13"/>
      <c r="L34" s="13"/>
      <c r="M34" s="13"/>
      <c r="N34" s="13"/>
      <c r="O34" s="13"/>
      <c r="P34" s="13"/>
      <c r="Q34" s="13"/>
      <c r="R34" s="13">
        <f t="shared" si="0"/>
        <v>100</v>
      </c>
      <c r="S34" s="13">
        <f t="shared" si="1"/>
        <v>0</v>
      </c>
    </row>
    <row r="35" spans="1:19" s="7" customFormat="1" x14ac:dyDescent="0.35">
      <c r="A35" s="13" t="s">
        <v>221</v>
      </c>
      <c r="B35" s="13" t="s">
        <v>251</v>
      </c>
      <c r="C35" s="13" t="s">
        <v>285</v>
      </c>
      <c r="D35" s="13" t="s">
        <v>133</v>
      </c>
      <c r="E35" s="13" t="s">
        <v>133</v>
      </c>
      <c r="F35" s="13" t="s">
        <v>133</v>
      </c>
      <c r="G35" s="13">
        <v>100</v>
      </c>
      <c r="H35" s="13"/>
      <c r="I35" s="13"/>
      <c r="J35" s="13"/>
      <c r="K35" s="13"/>
      <c r="L35" s="13"/>
      <c r="M35" s="13"/>
      <c r="N35" s="13"/>
      <c r="O35" s="13"/>
      <c r="P35" s="13"/>
      <c r="Q35" s="13"/>
      <c r="R35" s="13">
        <f t="shared" si="0"/>
        <v>100</v>
      </c>
      <c r="S35" s="13">
        <f t="shared" si="1"/>
        <v>0</v>
      </c>
    </row>
    <row r="36" spans="1:19" x14ac:dyDescent="0.35">
      <c r="A36" s="13" t="s">
        <v>178</v>
      </c>
      <c r="B36" s="13" t="s">
        <v>194</v>
      </c>
      <c r="C36" s="13" t="s">
        <v>286</v>
      </c>
      <c r="D36" s="13" t="s">
        <v>328</v>
      </c>
      <c r="E36" s="13" t="s">
        <v>357</v>
      </c>
      <c r="F36" s="13"/>
      <c r="G36" s="13">
        <v>18</v>
      </c>
      <c r="H36" s="13">
        <v>22</v>
      </c>
      <c r="I36" s="13">
        <v>5</v>
      </c>
      <c r="J36" s="13"/>
      <c r="K36" s="13"/>
      <c r="L36" s="13"/>
      <c r="M36" s="13"/>
      <c r="N36" s="13"/>
      <c r="O36" s="13">
        <v>1</v>
      </c>
      <c r="P36" s="13">
        <v>0</v>
      </c>
      <c r="Q36" s="13"/>
      <c r="R36" s="13">
        <f t="shared" si="0"/>
        <v>45</v>
      </c>
      <c r="S36" s="13">
        <f t="shared" si="1"/>
        <v>1</v>
      </c>
    </row>
    <row r="37" spans="1:19" x14ac:dyDescent="0.35">
      <c r="A37" s="13" t="s">
        <v>178</v>
      </c>
      <c r="B37" s="13" t="s">
        <v>195</v>
      </c>
      <c r="C37" s="13" t="s">
        <v>287</v>
      </c>
      <c r="D37" s="13" t="s">
        <v>329</v>
      </c>
      <c r="E37" s="13" t="s">
        <v>358</v>
      </c>
      <c r="F37" s="13"/>
      <c r="G37" s="13">
        <v>73</v>
      </c>
      <c r="H37" s="13">
        <v>41</v>
      </c>
      <c r="I37" s="13">
        <v>6</v>
      </c>
      <c r="J37" s="13"/>
      <c r="K37" s="13"/>
      <c r="L37" s="13"/>
      <c r="M37" s="13"/>
      <c r="N37" s="13"/>
      <c r="O37" s="13">
        <v>1</v>
      </c>
      <c r="P37" s="13">
        <v>0</v>
      </c>
      <c r="Q37" s="13"/>
      <c r="R37" s="13">
        <f t="shared" si="0"/>
        <v>120</v>
      </c>
      <c r="S37" s="13">
        <f t="shared" si="1"/>
        <v>1</v>
      </c>
    </row>
    <row r="38" spans="1:19" x14ac:dyDescent="0.35">
      <c r="A38" s="13" t="s">
        <v>178</v>
      </c>
      <c r="B38" s="13" t="s">
        <v>196</v>
      </c>
      <c r="C38" s="13" t="s">
        <v>288</v>
      </c>
      <c r="D38" s="13" t="s">
        <v>330</v>
      </c>
      <c r="E38" s="13" t="s">
        <v>359</v>
      </c>
      <c r="F38" s="13"/>
      <c r="G38" s="13">
        <v>53</v>
      </c>
      <c r="H38" s="13">
        <v>27</v>
      </c>
      <c r="I38" s="13">
        <v>7</v>
      </c>
      <c r="J38" s="13"/>
      <c r="K38" s="13">
        <v>1</v>
      </c>
      <c r="L38" s="13"/>
      <c r="M38" s="13"/>
      <c r="N38" s="13"/>
      <c r="O38" s="13">
        <v>2</v>
      </c>
      <c r="P38" s="13">
        <v>0</v>
      </c>
      <c r="Q38" s="13"/>
      <c r="R38" s="13">
        <f t="shared" si="0"/>
        <v>87</v>
      </c>
      <c r="S38" s="13">
        <f t="shared" si="1"/>
        <v>2</v>
      </c>
    </row>
    <row r="39" spans="1:19" x14ac:dyDescent="0.35">
      <c r="A39" s="13" t="s">
        <v>178</v>
      </c>
      <c r="B39" s="13" t="s">
        <v>197</v>
      </c>
      <c r="C39" s="13" t="s">
        <v>289</v>
      </c>
      <c r="D39" s="13" t="s">
        <v>331</v>
      </c>
      <c r="E39" s="13" t="s">
        <v>360</v>
      </c>
      <c r="F39" s="13"/>
      <c r="G39" s="13">
        <v>49</v>
      </c>
      <c r="H39" s="13">
        <v>28</v>
      </c>
      <c r="I39" s="13">
        <v>1</v>
      </c>
      <c r="J39" s="13"/>
      <c r="K39" s="13"/>
      <c r="L39" s="13">
        <v>2</v>
      </c>
      <c r="M39" s="13"/>
      <c r="N39" s="13"/>
      <c r="O39" s="13">
        <v>2</v>
      </c>
      <c r="P39" s="13">
        <v>0</v>
      </c>
      <c r="Q39" s="13"/>
      <c r="R39" s="13">
        <f t="shared" si="0"/>
        <v>78</v>
      </c>
      <c r="S39" s="13">
        <f t="shared" si="1"/>
        <v>2</v>
      </c>
    </row>
    <row r="40" spans="1:19" x14ac:dyDescent="0.35">
      <c r="A40" s="13" t="s">
        <v>178</v>
      </c>
      <c r="B40" s="13" t="s">
        <v>198</v>
      </c>
      <c r="C40" s="13" t="s">
        <v>290</v>
      </c>
      <c r="D40" s="13" t="s">
        <v>332</v>
      </c>
      <c r="E40" s="13" t="s">
        <v>361</v>
      </c>
      <c r="F40" s="13"/>
      <c r="G40" s="13">
        <v>10</v>
      </c>
      <c r="H40" s="13">
        <v>32</v>
      </c>
      <c r="I40" s="13">
        <v>2</v>
      </c>
      <c r="J40" s="13"/>
      <c r="K40" s="13">
        <v>1</v>
      </c>
      <c r="L40" s="13">
        <v>1</v>
      </c>
      <c r="M40" s="13"/>
      <c r="N40" s="13"/>
      <c r="O40" s="13">
        <v>3</v>
      </c>
      <c r="P40" s="13">
        <v>0</v>
      </c>
      <c r="Q40" s="13"/>
      <c r="R40" s="13">
        <f t="shared" si="0"/>
        <v>44</v>
      </c>
      <c r="S40" s="13">
        <f t="shared" si="1"/>
        <v>3</v>
      </c>
    </row>
    <row r="41" spans="1:19" x14ac:dyDescent="0.35">
      <c r="A41" s="13" t="s">
        <v>178</v>
      </c>
      <c r="B41" s="13" t="s">
        <v>199</v>
      </c>
      <c r="C41" s="13" t="s">
        <v>291</v>
      </c>
      <c r="D41" s="13" t="s">
        <v>333</v>
      </c>
      <c r="E41" s="13" t="s">
        <v>362</v>
      </c>
      <c r="F41" s="13"/>
      <c r="G41" s="13">
        <v>38</v>
      </c>
      <c r="H41" s="13">
        <v>17</v>
      </c>
      <c r="I41" s="13">
        <v>31</v>
      </c>
      <c r="J41" s="13"/>
      <c r="K41" s="13">
        <v>1</v>
      </c>
      <c r="L41" s="13"/>
      <c r="M41" s="13"/>
      <c r="N41" s="13"/>
      <c r="O41" s="13">
        <v>1</v>
      </c>
      <c r="P41" s="13">
        <v>1</v>
      </c>
      <c r="Q41" s="13"/>
      <c r="R41" s="13">
        <f t="shared" si="0"/>
        <v>86</v>
      </c>
      <c r="S41" s="13">
        <f t="shared" si="1"/>
        <v>2</v>
      </c>
    </row>
    <row r="42" spans="1:19" x14ac:dyDescent="0.35">
      <c r="A42" s="13" t="s">
        <v>178</v>
      </c>
      <c r="B42" s="13" t="s">
        <v>200</v>
      </c>
      <c r="C42" s="13" t="s">
        <v>292</v>
      </c>
      <c r="D42" s="13" t="s">
        <v>334</v>
      </c>
      <c r="E42" s="13"/>
      <c r="F42" s="13"/>
      <c r="G42" s="13">
        <v>46</v>
      </c>
      <c r="H42" s="13">
        <v>10</v>
      </c>
      <c r="I42" s="13"/>
      <c r="J42" s="13"/>
      <c r="K42" s="13"/>
      <c r="L42" s="13"/>
      <c r="M42" s="13"/>
      <c r="N42" s="13"/>
      <c r="O42" s="13">
        <v>0</v>
      </c>
      <c r="P42" s="13"/>
      <c r="Q42" s="13"/>
      <c r="R42" s="13">
        <f t="shared" si="0"/>
        <v>56</v>
      </c>
      <c r="S42" s="13">
        <f t="shared" si="1"/>
        <v>0</v>
      </c>
    </row>
    <row r="43" spans="1:19" x14ac:dyDescent="0.35">
      <c r="A43" s="13" t="s">
        <v>178</v>
      </c>
      <c r="B43" s="13" t="s">
        <v>201</v>
      </c>
      <c r="C43" s="13" t="s">
        <v>293</v>
      </c>
      <c r="D43" s="13" t="s">
        <v>335</v>
      </c>
      <c r="E43" s="13"/>
      <c r="F43" s="13"/>
      <c r="G43" s="13">
        <v>65</v>
      </c>
      <c r="H43" s="13">
        <v>26</v>
      </c>
      <c r="I43" s="13"/>
      <c r="J43" s="13"/>
      <c r="K43" s="13"/>
      <c r="L43" s="13">
        <v>1</v>
      </c>
      <c r="M43" s="13"/>
      <c r="N43" s="13"/>
      <c r="O43" s="13">
        <v>2</v>
      </c>
      <c r="P43" s="13"/>
      <c r="Q43" s="13"/>
      <c r="R43" s="13">
        <f t="shared" si="0"/>
        <v>91</v>
      </c>
      <c r="S43" s="13">
        <f t="shared" si="1"/>
        <v>2</v>
      </c>
    </row>
    <row r="44" spans="1:19" x14ac:dyDescent="0.35">
      <c r="A44" s="13" t="s">
        <v>187</v>
      </c>
      <c r="B44" s="13" t="s">
        <v>191</v>
      </c>
      <c r="C44" s="13" t="s">
        <v>294</v>
      </c>
      <c r="D44" s="13" t="s">
        <v>336</v>
      </c>
      <c r="E44" s="13"/>
      <c r="F44" s="13"/>
      <c r="G44" s="13"/>
      <c r="H44" s="13">
        <v>18</v>
      </c>
      <c r="I44" s="13"/>
      <c r="J44" s="13"/>
      <c r="K44" s="13">
        <v>1</v>
      </c>
      <c r="L44" s="13"/>
      <c r="M44" s="13"/>
      <c r="N44" s="13"/>
      <c r="O44" s="13">
        <v>2</v>
      </c>
      <c r="P44" s="13"/>
      <c r="Q44" s="13"/>
      <c r="R44" s="13">
        <f t="shared" si="0"/>
        <v>18</v>
      </c>
      <c r="S44" s="13">
        <f t="shared" si="1"/>
        <v>2</v>
      </c>
    </row>
    <row r="45" spans="1:19" x14ac:dyDescent="0.35">
      <c r="A45" s="13" t="s">
        <v>187</v>
      </c>
      <c r="B45" s="13" t="s">
        <v>192</v>
      </c>
      <c r="C45" s="13" t="s">
        <v>295</v>
      </c>
      <c r="D45" s="13" t="s">
        <v>337</v>
      </c>
      <c r="E45" s="13"/>
      <c r="F45" s="13"/>
      <c r="G45" s="13">
        <v>100</v>
      </c>
      <c r="H45" s="13">
        <v>20</v>
      </c>
      <c r="I45" s="13"/>
      <c r="J45" s="13"/>
      <c r="K45" s="13">
        <v>2</v>
      </c>
      <c r="L45" s="13">
        <v>1</v>
      </c>
      <c r="M45" s="13"/>
      <c r="N45" s="13"/>
      <c r="O45" s="13">
        <v>3</v>
      </c>
      <c r="P45" s="13"/>
      <c r="Q45" s="13"/>
      <c r="R45" s="13">
        <f t="shared" si="0"/>
        <v>120</v>
      </c>
      <c r="S45" s="13">
        <f t="shared" si="1"/>
        <v>3</v>
      </c>
    </row>
    <row r="46" spans="1:19" x14ac:dyDescent="0.35">
      <c r="A46" s="13" t="s">
        <v>187</v>
      </c>
      <c r="B46" s="13" t="s">
        <v>193</v>
      </c>
      <c r="C46" s="13" t="s">
        <v>296</v>
      </c>
      <c r="D46" s="13" t="s">
        <v>338</v>
      </c>
      <c r="E46" s="13" t="s">
        <v>363</v>
      </c>
      <c r="F46" s="13"/>
      <c r="G46" s="13">
        <v>93</v>
      </c>
      <c r="H46" s="13">
        <v>5</v>
      </c>
      <c r="I46" s="13">
        <v>2</v>
      </c>
      <c r="J46" s="13"/>
      <c r="K46" s="13">
        <v>1</v>
      </c>
      <c r="L46" s="13">
        <v>2</v>
      </c>
      <c r="M46" s="13"/>
      <c r="N46" s="13"/>
      <c r="O46" s="13">
        <v>3</v>
      </c>
      <c r="P46" s="13">
        <v>0</v>
      </c>
      <c r="Q46" s="13"/>
      <c r="R46" s="13">
        <f t="shared" si="0"/>
        <v>100</v>
      </c>
      <c r="S46" s="13">
        <f t="shared" si="1"/>
        <v>3</v>
      </c>
    </row>
    <row r="47" spans="1:19" ht="16" x14ac:dyDescent="0.35">
      <c r="A47" s="14" t="s">
        <v>111</v>
      </c>
      <c r="B47" s="7"/>
      <c r="C47" s="7"/>
      <c r="D47" s="7"/>
      <c r="E47" s="7"/>
      <c r="F47" s="7"/>
      <c r="G47" s="14">
        <f t="shared" ref="G47:S47" si="4">SUBTOTAL(109,G2:G46)</f>
        <v>2945</v>
      </c>
      <c r="H47" s="14">
        <f t="shared" si="4"/>
        <v>987</v>
      </c>
      <c r="I47" s="14">
        <f t="shared" si="4"/>
        <v>378</v>
      </c>
      <c r="J47" s="14">
        <f t="shared" si="4"/>
        <v>18</v>
      </c>
      <c r="K47" s="14">
        <f t="shared" si="4"/>
        <v>44</v>
      </c>
      <c r="L47" s="14">
        <f t="shared" si="4"/>
        <v>37</v>
      </c>
      <c r="M47" s="14">
        <f t="shared" si="4"/>
        <v>21</v>
      </c>
      <c r="N47" s="14">
        <f t="shared" si="4"/>
        <v>12</v>
      </c>
      <c r="O47" s="14">
        <f t="shared" si="4"/>
        <v>104</v>
      </c>
      <c r="P47" s="14">
        <f t="shared" si="4"/>
        <v>30</v>
      </c>
      <c r="Q47" s="14">
        <f t="shared" si="4"/>
        <v>12</v>
      </c>
      <c r="R47" s="14">
        <f t="shared" si="4"/>
        <v>4328</v>
      </c>
      <c r="S47" s="14">
        <f t="shared" si="4"/>
        <v>146</v>
      </c>
    </row>
  </sheetData>
  <phoneticPr fontId="20" type="noConversion"/>
  <pageMargins left="0.7" right="0.7" top="0.75" bottom="0.75"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
  <sheetViews>
    <sheetView zoomScaleNormal="100" workbookViewId="0"/>
  </sheetViews>
  <sheetFormatPr defaultColWidth="8.6328125" defaultRowHeight="14.5" x14ac:dyDescent="0.35"/>
  <cols>
    <col min="1" max="1" width="12.90625" style="7" bestFit="1" customWidth="1"/>
    <col min="2" max="2" width="12.1796875" style="7" bestFit="1" customWidth="1"/>
    <col min="3" max="3" width="18.26953125" style="7" bestFit="1" customWidth="1"/>
    <col min="4" max="4" width="22.90625" style="7" bestFit="1" customWidth="1"/>
    <col min="5" max="5" width="21.36328125" style="7" bestFit="1" customWidth="1"/>
    <col min="6" max="6" width="21.90625" style="7" bestFit="1" customWidth="1"/>
    <col min="7" max="7" width="20.54296875" style="7" bestFit="1" customWidth="1"/>
    <col min="8" max="8" width="21.7265625" style="7" bestFit="1" customWidth="1"/>
    <col min="9" max="9" width="22.1796875" style="7" bestFit="1" customWidth="1"/>
    <col min="10" max="10" width="20.81640625" style="7" bestFit="1" customWidth="1"/>
    <col min="11" max="12" width="23.7265625" style="7" bestFit="1" customWidth="1"/>
    <col min="13" max="13" width="8.6328125" style="7" customWidth="1"/>
    <col min="14" max="16384" width="8.6328125" style="7"/>
  </cols>
  <sheetData>
    <row r="1" spans="1:11" ht="37" x14ac:dyDescent="0.35">
      <c r="A1" s="11" t="s">
        <v>65</v>
      </c>
      <c r="B1" s="11" t="s">
        <v>56</v>
      </c>
      <c r="C1" s="11" t="s">
        <v>110</v>
      </c>
      <c r="D1" s="11" t="s">
        <v>55</v>
      </c>
      <c r="E1" s="11" t="s">
        <v>112</v>
      </c>
      <c r="F1" s="11" t="s">
        <v>113</v>
      </c>
      <c r="G1" s="11" t="s">
        <v>114</v>
      </c>
      <c r="H1" s="11" t="s">
        <v>103</v>
      </c>
      <c r="I1" s="11" t="s">
        <v>104</v>
      </c>
      <c r="J1" s="11" t="s">
        <v>105</v>
      </c>
      <c r="K1" s="11" t="s">
        <v>150</v>
      </c>
    </row>
    <row r="2" spans="1:11" x14ac:dyDescent="0.35">
      <c r="A2" s="13" t="s">
        <v>156</v>
      </c>
      <c r="B2" s="13">
        <f>SUMIF(tblWeeklyInsights[Series],$A2,tblWeeklyInsights[Acer Stock])</f>
        <v>19</v>
      </c>
      <c r="C2" s="13">
        <f t="shared" ref="C2:C7" si="0">SUM(E2:G2)</f>
        <v>22</v>
      </c>
      <c r="D2" s="13">
        <f t="shared" ref="D2:D7" si="1">SUM(B2,H2:J2)</f>
        <v>52</v>
      </c>
      <c r="E2" s="13">
        <f>SUMIF(tblWeeklyInsights[Series],$A2,tblWeeklyInsights[Flipkart Sales
(Till Date)])</f>
        <v>22</v>
      </c>
      <c r="F2" s="13">
        <f>SUMIF(tblWeeklyInsights[Series],$A2,tblWeeklyInsights[Amazon Sales
(Till Date)])</f>
        <v>0</v>
      </c>
      <c r="G2" s="13">
        <f>SUMIF(tblWeeklyInsights[Series],$A2,tblWeeklyInsights[Myntra Sales
(Till Date)])</f>
        <v>0</v>
      </c>
      <c r="H2" s="13">
        <f>SUMIF(tblWeeklyInsights[Series],$A2,tblWeeklyInsights[Flipkart Stock])</f>
        <v>33</v>
      </c>
      <c r="I2" s="13">
        <f>SUMIF(tblWeeklyInsights[Series],$A2,tblWeeklyInsights[Amazon Stock])</f>
        <v>0</v>
      </c>
      <c r="J2" s="13">
        <f>SUMIF(tblWeeklyInsights[Series],$A2,tblWeeklyInsights[Myntra Stock])</f>
        <v>0</v>
      </c>
      <c r="K2" s="7" cm="1">
        <f t="array" ref="K2">SUMPRODUCT(('Product Master'!$A$2:$A$47=A2)*'Product Master'!$G$2:$G$47*_xlfn.XLOOKUP('Product Master'!$C$2:$C$47,'Weekly Insights'!$C$2:$C$46,'Weekly Insights'!$R$2:$R$46,0))</f>
        <v>805948</v>
      </c>
    </row>
    <row r="3" spans="1:11" x14ac:dyDescent="0.35">
      <c r="A3" s="13" t="s">
        <v>161</v>
      </c>
      <c r="B3" s="13">
        <f>SUMIF(tblWeeklyInsights[Series],$A3,tblWeeklyInsights[Acer Stock])</f>
        <v>138</v>
      </c>
      <c r="C3" s="13">
        <f t="shared" si="0"/>
        <v>9</v>
      </c>
      <c r="D3" s="13">
        <f t="shared" si="1"/>
        <v>351</v>
      </c>
      <c r="E3" s="13">
        <f>SUMIF(tblWeeklyInsights[Series],$A3,tblWeeklyInsights[Flipkart Sales
(Till Date)])</f>
        <v>2</v>
      </c>
      <c r="F3" s="13">
        <f>SUMIF(tblWeeklyInsights[Series],$A3,tblWeeklyInsights[Amazon Sales
(Till Date)])</f>
        <v>2</v>
      </c>
      <c r="G3" s="13">
        <f>SUMIF(tblWeeklyInsights[Series],$A3,tblWeeklyInsights[Myntra Sales
(Till Date)])</f>
        <v>5</v>
      </c>
      <c r="H3" s="13">
        <f>SUMIF(tblWeeklyInsights[Series],$A3,tblWeeklyInsights[Flipkart Stock])</f>
        <v>175</v>
      </c>
      <c r="I3" s="13">
        <f>SUMIF(tblWeeklyInsights[Series],$A3,tblWeeklyInsights[Amazon Stock])</f>
        <v>33</v>
      </c>
      <c r="J3" s="13">
        <f>SUMIF(tblWeeklyInsights[Series],$A3,tblWeeklyInsights[Myntra Stock])</f>
        <v>5</v>
      </c>
      <c r="K3" s="7" cm="1">
        <f t="array" ref="K3">SUMPRODUCT(('Product Master'!$A$2:$A$47=A3)*'Product Master'!$G$2:$G$47*_xlfn.XLOOKUP('Product Master'!$C$2:$C$47,'Weekly Insights'!$C$2:$C$46,'Weekly Insights'!$R$2:$R$46,0))</f>
        <v>4964649</v>
      </c>
    </row>
    <row r="4" spans="1:11" x14ac:dyDescent="0.35">
      <c r="A4" s="7" t="s">
        <v>168</v>
      </c>
      <c r="B4" s="13">
        <f>SUMIF(tblWeeklyInsights[Series],$A4,tblWeeklyInsights[Acer Stock])</f>
        <v>1008</v>
      </c>
      <c r="C4" s="13">
        <f t="shared" si="0"/>
        <v>53</v>
      </c>
      <c r="D4" s="13">
        <f t="shared" si="1"/>
        <v>1380</v>
      </c>
      <c r="E4" s="13">
        <f>SUMIF(tblWeeklyInsights[Series],$A4,tblWeeklyInsights[Flipkart Sales
(Till Date)])</f>
        <v>37</v>
      </c>
      <c r="F4" s="13">
        <f>SUMIF(tblWeeklyInsights[Series],$A4,tblWeeklyInsights[Amazon Sales
(Till Date)])</f>
        <v>13</v>
      </c>
      <c r="G4" s="13">
        <f>SUMIF(tblWeeklyInsights[Series],$A4,tblWeeklyInsights[Myntra Sales
(Till Date)])</f>
        <v>3</v>
      </c>
      <c r="H4" s="13">
        <f>SUMIF(tblWeeklyInsights[Series],$A4,tblWeeklyInsights[Flipkart Stock])</f>
        <v>238</v>
      </c>
      <c r="I4" s="13">
        <f>SUMIF(tblWeeklyInsights[Series],$A4,tblWeeklyInsights[Amazon Stock])</f>
        <v>122</v>
      </c>
      <c r="J4" s="13">
        <f>SUMIF(tblWeeklyInsights[Series],$A4,tblWeeklyInsights[Myntra Stock])</f>
        <v>12</v>
      </c>
      <c r="K4" s="7" cm="1">
        <f t="array" ref="K4">SUMPRODUCT(('Product Master'!$A$2:$A$47=A4)*'Product Master'!$G$2:$G$47*_xlfn.XLOOKUP('Product Master'!$C$2:$C$47,'Weekly Insights'!$C$2:$C$46,'Weekly Insights'!$R$2:$R$46,0))</f>
        <v>24908620</v>
      </c>
    </row>
    <row r="5" spans="1:11" x14ac:dyDescent="0.35">
      <c r="A5" s="7" t="s">
        <v>221</v>
      </c>
      <c r="B5" s="13">
        <f>SUMIF(tblWeeklyInsights[Series],$A5,tblWeeklyInsights[Acer Stock])</f>
        <v>1235</v>
      </c>
      <c r="C5" s="13">
        <f t="shared" si="0"/>
        <v>41</v>
      </c>
      <c r="D5" s="13">
        <f t="shared" si="1"/>
        <v>1700</v>
      </c>
      <c r="E5" s="13">
        <f>SUMIF(tblWeeklyInsights[Series],$A5,tblWeeklyInsights[Flipkart Sales
(Till Date)])</f>
        <v>23</v>
      </c>
      <c r="F5" s="13">
        <f>SUMIF(tblWeeklyInsights[Series],$A5,tblWeeklyInsights[Amazon Sales
(Till Date)])</f>
        <v>14</v>
      </c>
      <c r="G5" s="13">
        <f>SUMIF(tblWeeklyInsights[Series],$A5,tblWeeklyInsights[Myntra Sales
(Till Date)])</f>
        <v>4</v>
      </c>
      <c r="H5" s="13">
        <f>SUMIF(tblWeeklyInsights[Series],$A5,tblWeeklyInsights[Flipkart Stock])</f>
        <v>295</v>
      </c>
      <c r="I5" s="13">
        <f>SUMIF(tblWeeklyInsights[Series],$A5,tblWeeklyInsights[Amazon Stock])</f>
        <v>169</v>
      </c>
      <c r="J5" s="13">
        <f>SUMIF(tblWeeklyInsights[Series],$A5,tblWeeklyInsights[Myntra Stock])</f>
        <v>1</v>
      </c>
      <c r="K5" s="7" cm="1">
        <f t="array" ref="K5">SUMPRODUCT(('Product Master'!$A$2:$A$47=A5)*'Product Master'!$G$2:$G$47*_xlfn.XLOOKUP('Product Master'!$C$2:$C$47,'Weekly Insights'!$C$2:$C$46,'Weekly Insights'!$R$2:$R$46,0))</f>
        <v>32906300</v>
      </c>
    </row>
    <row r="6" spans="1:11" x14ac:dyDescent="0.35">
      <c r="A6" s="7" t="s">
        <v>178</v>
      </c>
      <c r="B6" s="13">
        <f>SUMIF(tblWeeklyInsights[Series],$A6,tblWeeklyInsights[Acer Stock])</f>
        <v>352</v>
      </c>
      <c r="C6" s="13">
        <f t="shared" si="0"/>
        <v>13</v>
      </c>
      <c r="D6" s="13">
        <f t="shared" si="1"/>
        <v>607</v>
      </c>
      <c r="E6" s="13">
        <f>SUMIF(tblWeeklyInsights[Series],$A6,tblWeeklyInsights[Flipkart Sales
(Till Date)])</f>
        <v>12</v>
      </c>
      <c r="F6" s="13">
        <f>SUMIF(tblWeeklyInsights[Series],$A6,tblWeeklyInsights[Amazon Sales
(Till Date)])</f>
        <v>1</v>
      </c>
      <c r="G6" s="13">
        <f>SUMIF(tblWeeklyInsights[Series],$A6,tblWeeklyInsights[Myntra Sales
(Till Date)])</f>
        <v>0</v>
      </c>
      <c r="H6" s="13">
        <f>SUMIF(tblWeeklyInsights[Series],$A6,tblWeeklyInsights[Flipkart Stock])</f>
        <v>203</v>
      </c>
      <c r="I6" s="13">
        <f>SUMIF(tblWeeklyInsights[Series],$A6,tblWeeklyInsights[Amazon Stock])</f>
        <v>52</v>
      </c>
      <c r="J6" s="13">
        <f>SUMIF(tblWeeklyInsights[Series],$A6,tblWeeklyInsights[Myntra Stock])</f>
        <v>0</v>
      </c>
      <c r="K6" s="7" cm="1">
        <f t="array" ref="K6">SUMPRODUCT(('Product Master'!$A$2:$A$47=A6)*'Product Master'!$G$2:$G$47*_xlfn.XLOOKUP('Product Master'!$C$2:$C$47,'Weekly Insights'!$C$2:$C$46,'Weekly Insights'!$R$2:$R$46,0))</f>
        <v>11469393</v>
      </c>
    </row>
    <row r="7" spans="1:11" x14ac:dyDescent="0.35">
      <c r="A7" s="7" t="s">
        <v>187</v>
      </c>
      <c r="B7" s="13">
        <f>SUMIF(tblWeeklyInsights[Series],$A7,tblWeeklyInsights[Acer Stock])</f>
        <v>193</v>
      </c>
      <c r="C7" s="13">
        <f t="shared" si="0"/>
        <v>8</v>
      </c>
      <c r="D7" s="13">
        <f t="shared" si="1"/>
        <v>238</v>
      </c>
      <c r="E7" s="13">
        <f>SUMIF(tblWeeklyInsights[Series],$A7,tblWeeklyInsights[Flipkart Sales
(Till Date)])</f>
        <v>8</v>
      </c>
      <c r="F7" s="13">
        <f>SUMIF(tblWeeklyInsights[Series],$A7,tblWeeklyInsights[Amazon Sales
(Till Date)])</f>
        <v>0</v>
      </c>
      <c r="G7" s="13">
        <f>SUMIF(tblWeeklyInsights[Series],$A7,tblWeeklyInsights[Myntra Sales
(Till Date)])</f>
        <v>0</v>
      </c>
      <c r="H7" s="13">
        <f>SUMIF(tblWeeklyInsights[Series],$A7,tblWeeklyInsights[Flipkart Stock])</f>
        <v>43</v>
      </c>
      <c r="I7" s="13">
        <f>SUMIF(tblWeeklyInsights[Series],$A7,tblWeeklyInsights[Amazon Stock])</f>
        <v>2</v>
      </c>
      <c r="J7" s="13">
        <f>SUMIF(tblWeeklyInsights[Series],$A7,tblWeeklyInsights[Myntra Stock])</f>
        <v>0</v>
      </c>
      <c r="K7" s="7" cm="1">
        <f t="array" ref="K7">SUMPRODUCT(('Product Master'!$A$2:$A$47=A7)*'Product Master'!$G$2:$G$47*_xlfn.XLOOKUP('Product Master'!$C$2:$C$47,'Weekly Insights'!$C$2:$C$46,'Weekly Insights'!$R$2:$R$46,0))</f>
        <v>6553762</v>
      </c>
    </row>
  </sheetData>
  <pageMargins left="0.7" right="0.7" top="0.75" bottom="0.75"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3"/>
  <sheetViews>
    <sheetView showGridLines="0" zoomScaleNormal="100" workbookViewId="0">
      <selection sqref="A1:B1"/>
    </sheetView>
  </sheetViews>
  <sheetFormatPr defaultColWidth="12.90625" defaultRowHeight="14.5" x14ac:dyDescent="0.35"/>
  <cols>
    <col min="1" max="6" width="12.90625" style="7"/>
    <col min="7" max="7" width="12.36328125" style="7" bestFit="1" customWidth="1"/>
    <col min="8" max="8" width="14.1796875" style="7" bestFit="1" customWidth="1"/>
    <col min="9" max="9" width="15.1796875" style="7" customWidth="1"/>
    <col min="10" max="10" width="15.26953125" style="7" customWidth="1"/>
    <col min="11" max="11" width="16.26953125" style="7" customWidth="1"/>
    <col min="12" max="15" width="15.26953125" style="7" bestFit="1" customWidth="1"/>
    <col min="16" max="16" width="10.7265625" style="7" bestFit="1" customWidth="1"/>
    <col min="17" max="16384" width="12.90625" style="7"/>
  </cols>
  <sheetData>
    <row r="1" spans="1:16" ht="18.5" x14ac:dyDescent="0.35">
      <c r="A1" s="84" t="s">
        <v>115</v>
      </c>
      <c r="B1" s="85"/>
      <c r="D1" s="84" t="s">
        <v>61</v>
      </c>
      <c r="E1" s="85"/>
      <c r="G1" s="84" t="s">
        <v>152</v>
      </c>
      <c r="H1" s="84"/>
      <c r="J1" s="84" t="s">
        <v>146</v>
      </c>
      <c r="K1" s="84"/>
      <c r="L1"/>
      <c r="M1"/>
      <c r="N1"/>
      <c r="O1"/>
      <c r="P1"/>
    </row>
    <row r="2" spans="1:16" x14ac:dyDescent="0.35">
      <c r="D2" s="85"/>
      <c r="E2" s="86"/>
      <c r="L2"/>
      <c r="M2"/>
      <c r="N2"/>
      <c r="O2"/>
      <c r="P2"/>
    </row>
    <row r="3" spans="1:16" x14ac:dyDescent="0.35">
      <c r="A3" s="32" t="s">
        <v>116</v>
      </c>
      <c r="B3" s="41" t="s">
        <v>117</v>
      </c>
      <c r="D3" s="32" t="s">
        <v>118</v>
      </c>
      <c r="E3" s="3"/>
      <c r="G3" s="31" t="s">
        <v>116</v>
      </c>
      <c r="H3" s="42" t="s">
        <v>148</v>
      </c>
      <c r="J3" s="28" t="s">
        <v>142</v>
      </c>
      <c r="K3" s="37" t="s">
        <v>112</v>
      </c>
      <c r="L3"/>
    </row>
    <row r="4" spans="1:16" x14ac:dyDescent="0.35">
      <c r="A4" s="40" t="s">
        <v>168</v>
      </c>
      <c r="B4" s="3">
        <v>53</v>
      </c>
      <c r="D4" s="30" t="s">
        <v>119</v>
      </c>
      <c r="E4" s="44">
        <v>104</v>
      </c>
      <c r="G4" s="39" t="s">
        <v>221</v>
      </c>
      <c r="H4" s="38">
        <v>32906300</v>
      </c>
      <c r="J4" s="25" t="s">
        <v>143</v>
      </c>
      <c r="K4" s="24">
        <v>37</v>
      </c>
      <c r="L4"/>
    </row>
    <row r="5" spans="1:16" x14ac:dyDescent="0.35">
      <c r="A5" s="40" t="s">
        <v>221</v>
      </c>
      <c r="B5" s="3">
        <v>41</v>
      </c>
      <c r="D5" s="30" t="s">
        <v>120</v>
      </c>
      <c r="E5" s="44">
        <v>30</v>
      </c>
      <c r="G5" s="39" t="s">
        <v>168</v>
      </c>
      <c r="H5" s="38">
        <v>24908620</v>
      </c>
      <c r="J5" s="25" t="s">
        <v>144</v>
      </c>
      <c r="K5" s="24">
        <v>44</v>
      </c>
      <c r="L5"/>
    </row>
    <row r="6" spans="1:16" x14ac:dyDescent="0.35">
      <c r="A6" s="40" t="s">
        <v>156</v>
      </c>
      <c r="B6" s="3">
        <v>22</v>
      </c>
      <c r="D6" s="30" t="s">
        <v>121</v>
      </c>
      <c r="E6" s="44">
        <v>12</v>
      </c>
      <c r="G6" s="39" t="s">
        <v>178</v>
      </c>
      <c r="H6" s="38">
        <v>11469393</v>
      </c>
      <c r="J6" s="15" t="s">
        <v>122</v>
      </c>
      <c r="K6" s="16">
        <f>SUM(K4:K5)</f>
        <v>81</v>
      </c>
      <c r="L6"/>
    </row>
    <row r="7" spans="1:16" x14ac:dyDescent="0.35">
      <c r="A7" s="40" t="s">
        <v>178</v>
      </c>
      <c r="B7" s="3">
        <v>13</v>
      </c>
      <c r="D7" s="15" t="s">
        <v>122</v>
      </c>
      <c r="E7" s="16">
        <f>SUM(E4:E6)</f>
        <v>146</v>
      </c>
      <c r="G7" s="39" t="s">
        <v>187</v>
      </c>
      <c r="H7" s="38">
        <v>6553762</v>
      </c>
      <c r="L7"/>
    </row>
    <row r="8" spans="1:16" x14ac:dyDescent="0.35">
      <c r="A8" s="40" t="s">
        <v>161</v>
      </c>
      <c r="B8" s="3">
        <v>9</v>
      </c>
      <c r="G8" s="39" t="s">
        <v>161</v>
      </c>
      <c r="H8" s="38">
        <v>4964649</v>
      </c>
      <c r="I8" s="29"/>
      <c r="L8"/>
    </row>
    <row r="9" spans="1:16" x14ac:dyDescent="0.35">
      <c r="A9" s="40" t="s">
        <v>187</v>
      </c>
      <c r="B9" s="3">
        <v>8</v>
      </c>
      <c r="G9" s="39" t="s">
        <v>156</v>
      </c>
      <c r="H9" s="38">
        <v>805948</v>
      </c>
      <c r="L9"/>
    </row>
    <row r="10" spans="1:16" x14ac:dyDescent="0.35">
      <c r="A10" s="40" t="s">
        <v>122</v>
      </c>
      <c r="B10" s="3">
        <v>146</v>
      </c>
      <c r="G10" s="39" t="s">
        <v>122</v>
      </c>
      <c r="H10" s="38">
        <v>81608672</v>
      </c>
      <c r="I10" s="22"/>
      <c r="L10"/>
    </row>
    <row r="11" spans="1:16" x14ac:dyDescent="0.35">
      <c r="H11" s="23"/>
      <c r="I11" s="27"/>
      <c r="J11"/>
      <c r="K11"/>
      <c r="L11"/>
    </row>
    <row r="12" spans="1:16" x14ac:dyDescent="0.35">
      <c r="J12"/>
      <c r="K12"/>
      <c r="L12"/>
    </row>
    <row r="13" spans="1:16" ht="18.5" customHeight="1" x14ac:dyDescent="0.35">
      <c r="J13"/>
      <c r="K13"/>
      <c r="L13"/>
    </row>
    <row r="14" spans="1:16" ht="18.5" x14ac:dyDescent="0.35">
      <c r="A14" s="84" t="s">
        <v>123</v>
      </c>
      <c r="B14" s="85"/>
      <c r="D14" s="84" t="s">
        <v>63</v>
      </c>
      <c r="E14" s="85"/>
      <c r="G14" s="84" t="s">
        <v>151</v>
      </c>
      <c r="H14" s="85"/>
      <c r="J14"/>
      <c r="K14"/>
      <c r="L14"/>
    </row>
    <row r="15" spans="1:16" x14ac:dyDescent="0.35">
      <c r="J15"/>
      <c r="K15"/>
    </row>
    <row r="16" spans="1:16" x14ac:dyDescent="0.35">
      <c r="A16" s="32" t="s">
        <v>116</v>
      </c>
      <c r="B16" s="41" t="s">
        <v>124</v>
      </c>
      <c r="D16" s="32" t="s">
        <v>125</v>
      </c>
      <c r="E16" s="3"/>
      <c r="G16" s="33" t="s">
        <v>147</v>
      </c>
      <c r="H16" s="36" t="s">
        <v>148</v>
      </c>
      <c r="J16"/>
      <c r="K16"/>
    </row>
    <row r="17" spans="1:11" x14ac:dyDescent="0.35">
      <c r="A17" s="40" t="s">
        <v>221</v>
      </c>
      <c r="B17" s="3">
        <v>1700</v>
      </c>
      <c r="D17" s="40" t="s">
        <v>119</v>
      </c>
      <c r="E17" s="3">
        <v>987</v>
      </c>
      <c r="G17" s="25" t="s">
        <v>149</v>
      </c>
      <c r="H17" s="34" cm="1">
        <f t="array" ref="H17">SUMPRODUCT('Product Master'!G2:G47,_xlfn.XLOOKUP('Product Master'!C2:C47,'Weekly Insights'!C2:C46,'Weekly Insights'!G2:G46,0))</f>
        <v>55376055</v>
      </c>
      <c r="J17"/>
      <c r="K17"/>
    </row>
    <row r="18" spans="1:11" x14ac:dyDescent="0.35">
      <c r="A18" s="40" t="s">
        <v>168</v>
      </c>
      <c r="B18" s="3">
        <v>1380</v>
      </c>
      <c r="D18" s="40" t="s">
        <v>120</v>
      </c>
      <c r="E18" s="3">
        <v>378</v>
      </c>
      <c r="G18" s="25" t="s">
        <v>119</v>
      </c>
      <c r="H18" s="34" cm="1">
        <f t="array" ref="H18">SUMPRODUCT('Product Master'!G2:G47,_xlfn.XLOOKUP('Product Master'!C2:C47,'Weekly Insights'!C2:C46,'Weekly Insights'!H2:H46,0))</f>
        <v>18455013</v>
      </c>
      <c r="J18"/>
      <c r="K18"/>
    </row>
    <row r="19" spans="1:11" x14ac:dyDescent="0.35">
      <c r="A19" s="40" t="s">
        <v>178</v>
      </c>
      <c r="B19" s="3">
        <v>607</v>
      </c>
      <c r="D19" s="40" t="s">
        <v>121</v>
      </c>
      <c r="E19" s="3">
        <v>18</v>
      </c>
      <c r="G19" s="25" t="s">
        <v>120</v>
      </c>
      <c r="H19" s="34" cm="1">
        <f t="array" ref="H19">SUMPRODUCT('Product Master'!G2:G47,_xlfn.XLOOKUP('Product Master'!C2:C47,'Weekly Insights'!C2:C46,'Weekly Insights'!I2:I46,0))</f>
        <v>7466622</v>
      </c>
    </row>
    <row r="20" spans="1:11" x14ac:dyDescent="0.35">
      <c r="A20" s="40" t="s">
        <v>161</v>
      </c>
      <c r="B20" s="3">
        <v>351</v>
      </c>
      <c r="D20" s="15" t="s">
        <v>122</v>
      </c>
      <c r="E20" s="16">
        <f>SUM(E17:E19)</f>
        <v>1383</v>
      </c>
      <c r="G20" s="25" t="s">
        <v>121</v>
      </c>
      <c r="H20" s="34" cm="1">
        <f t="array" ref="H20">SUMPRODUCT('Product Master'!G2:G47,_xlfn.XLOOKUP('Product Master'!C2:C47,'Weekly Insights'!C2:C46,'Weekly Insights'!J2:J46,0))</f>
        <v>310982</v>
      </c>
    </row>
    <row r="21" spans="1:11" x14ac:dyDescent="0.35">
      <c r="A21" s="40" t="s">
        <v>187</v>
      </c>
      <c r="B21" s="3">
        <v>238</v>
      </c>
      <c r="G21" s="15" t="s">
        <v>122</v>
      </c>
      <c r="H21" s="35">
        <f>SUM(H17:H20)</f>
        <v>81608672</v>
      </c>
    </row>
    <row r="22" spans="1:11" x14ac:dyDescent="0.35">
      <c r="A22" s="40" t="s">
        <v>156</v>
      </c>
      <c r="B22" s="3">
        <v>52</v>
      </c>
    </row>
    <row r="23" spans="1:11" x14ac:dyDescent="0.35">
      <c r="A23" s="40" t="s">
        <v>122</v>
      </c>
      <c r="B23" s="3">
        <v>4328</v>
      </c>
    </row>
  </sheetData>
  <autoFilter ref="J3:K5" xr:uid="{00000000-0001-0000-0400-000000000000}"/>
  <mergeCells count="8">
    <mergeCell ref="G1:H1"/>
    <mergeCell ref="G14:H14"/>
    <mergeCell ref="J1:K1"/>
    <mergeCell ref="D2:E2"/>
    <mergeCell ref="A14:B14"/>
    <mergeCell ref="A1:B1"/>
    <mergeCell ref="D14:E14"/>
    <mergeCell ref="D1:E1"/>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8"/>
  <sheetViews>
    <sheetView showGridLines="0" zoomScaleNormal="100" workbookViewId="0">
      <selection activeCell="A65" sqref="A65"/>
    </sheetView>
  </sheetViews>
  <sheetFormatPr defaultColWidth="22" defaultRowHeight="14.5" x14ac:dyDescent="0.35"/>
  <cols>
    <col min="1" max="1" width="22" style="3" customWidth="1"/>
    <col min="2" max="2" width="14" style="3" customWidth="1"/>
    <col min="3" max="3" width="4" style="3" customWidth="1"/>
    <col min="4" max="4" width="22" style="3" customWidth="1"/>
    <col min="5" max="5" width="14" style="3" customWidth="1"/>
    <col min="6" max="7" width="4" style="3" customWidth="1"/>
    <col min="8" max="8" width="14" style="3" customWidth="1"/>
    <col min="9" max="16384" width="22" style="3"/>
  </cols>
  <sheetData>
    <row r="1" spans="1:8" ht="26" customHeight="1" x14ac:dyDescent="0.35">
      <c r="A1" s="88" t="s">
        <v>0</v>
      </c>
      <c r="B1" s="45"/>
      <c r="C1" s="45"/>
      <c r="D1" s="45"/>
      <c r="E1" s="45"/>
      <c r="F1" s="45"/>
      <c r="G1" s="45"/>
      <c r="H1" s="45"/>
    </row>
    <row r="2" spans="1:8" ht="26" customHeight="1" x14ac:dyDescent="0.35">
      <c r="A2" s="45"/>
      <c r="B2" s="45"/>
      <c r="C2" s="45"/>
      <c r="D2" s="45"/>
      <c r="E2" s="45"/>
      <c r="F2" s="45"/>
      <c r="G2" s="45"/>
      <c r="H2" s="45"/>
    </row>
    <row r="3" spans="1:8" x14ac:dyDescent="0.35">
      <c r="A3" s="17"/>
      <c r="B3" s="17"/>
      <c r="C3" s="17"/>
      <c r="D3" s="17"/>
      <c r="E3" s="17"/>
      <c r="F3" s="17"/>
      <c r="G3" s="17"/>
      <c r="H3" s="17"/>
    </row>
    <row r="4" spans="1:8" ht="18.5" customHeight="1" x14ac:dyDescent="0.35">
      <c r="A4" s="20" t="s">
        <v>1</v>
      </c>
      <c r="B4" s="17"/>
      <c r="C4" s="17"/>
      <c r="D4" s="17"/>
      <c r="E4" s="17"/>
      <c r="F4" s="17"/>
      <c r="G4" s="17"/>
      <c r="H4" s="17"/>
    </row>
    <row r="5" spans="1:8" ht="16" customHeight="1" x14ac:dyDescent="0.35">
      <c r="A5" s="87" t="s">
        <v>2</v>
      </c>
      <c r="B5" s="45"/>
      <c r="C5" s="45"/>
      <c r="D5" s="45"/>
      <c r="E5" s="45"/>
      <c r="F5" s="45"/>
      <c r="G5" s="45"/>
      <c r="H5" s="45"/>
    </row>
    <row r="6" spans="1:8" ht="16" customHeight="1" x14ac:dyDescent="0.35">
      <c r="A6" s="45"/>
      <c r="B6" s="45"/>
      <c r="C6" s="45"/>
      <c r="D6" s="45"/>
      <c r="E6" s="45"/>
      <c r="F6" s="45"/>
      <c r="G6" s="45"/>
      <c r="H6" s="45"/>
    </row>
    <row r="7" spans="1:8" ht="16" customHeight="1" x14ac:dyDescent="0.35">
      <c r="A7" s="45"/>
      <c r="B7" s="45"/>
      <c r="C7" s="45"/>
      <c r="D7" s="45"/>
      <c r="E7" s="45"/>
      <c r="F7" s="45"/>
      <c r="G7" s="45"/>
      <c r="H7" s="45"/>
    </row>
    <row r="8" spans="1:8" ht="16" customHeight="1" x14ac:dyDescent="0.35">
      <c r="A8" s="45"/>
      <c r="B8" s="45"/>
      <c r="C8" s="45"/>
      <c r="D8" s="45"/>
      <c r="E8" s="45"/>
      <c r="F8" s="45"/>
      <c r="G8" s="45"/>
      <c r="H8" s="45"/>
    </row>
    <row r="9" spans="1:8" x14ac:dyDescent="0.35">
      <c r="A9" s="17"/>
      <c r="B9" s="17"/>
      <c r="C9" s="17"/>
      <c r="D9" s="17"/>
      <c r="E9" s="17"/>
      <c r="F9" s="17"/>
      <c r="G9" s="17"/>
      <c r="H9" s="17"/>
    </row>
    <row r="10" spans="1:8" ht="18.5" x14ac:dyDescent="0.35">
      <c r="A10" s="20" t="s">
        <v>3</v>
      </c>
      <c r="B10" s="17"/>
      <c r="C10" s="17"/>
      <c r="D10" s="17"/>
      <c r="E10" s="17"/>
      <c r="F10" s="17"/>
      <c r="G10" s="17"/>
      <c r="H10" s="17"/>
    </row>
    <row r="11" spans="1:8" x14ac:dyDescent="0.35">
      <c r="A11" s="21" t="s">
        <v>4</v>
      </c>
      <c r="B11" s="17"/>
      <c r="C11" s="17"/>
      <c r="D11" s="17"/>
      <c r="E11" s="17"/>
      <c r="F11" s="17"/>
      <c r="G11" s="17"/>
      <c r="H11" s="17"/>
    </row>
    <row r="12" spans="1:8" x14ac:dyDescent="0.35">
      <c r="A12" s="21" t="s">
        <v>5</v>
      </c>
      <c r="B12" s="17"/>
      <c r="C12" s="17"/>
      <c r="D12" s="17"/>
      <c r="E12" s="17"/>
      <c r="F12" s="17"/>
      <c r="G12" s="17"/>
      <c r="H12" s="17"/>
    </row>
    <row r="13" spans="1:8" x14ac:dyDescent="0.35">
      <c r="A13" s="21" t="s">
        <v>6</v>
      </c>
      <c r="B13" s="17"/>
      <c r="C13" s="17"/>
      <c r="D13" s="17"/>
      <c r="E13" s="17"/>
      <c r="F13" s="17"/>
      <c r="G13" s="17"/>
      <c r="H13" s="17"/>
    </row>
    <row r="14" spans="1:8" x14ac:dyDescent="0.35">
      <c r="A14" s="21" t="s">
        <v>7</v>
      </c>
      <c r="B14" s="17"/>
      <c r="C14" s="17"/>
      <c r="D14" s="17"/>
      <c r="E14" s="17"/>
      <c r="F14" s="17"/>
      <c r="G14" s="17"/>
      <c r="H14" s="17"/>
    </row>
    <row r="15" spans="1:8" x14ac:dyDescent="0.35">
      <c r="A15" s="21" t="s">
        <v>8</v>
      </c>
      <c r="B15" s="17"/>
      <c r="C15" s="17"/>
      <c r="D15" s="17"/>
      <c r="E15" s="17"/>
      <c r="F15" s="17"/>
      <c r="G15" s="17"/>
      <c r="H15" s="17"/>
    </row>
    <row r="16" spans="1:8" x14ac:dyDescent="0.35">
      <c r="A16" s="17"/>
      <c r="B16" s="17"/>
      <c r="C16" s="17"/>
      <c r="D16" s="17"/>
      <c r="E16" s="17"/>
      <c r="F16" s="17"/>
      <c r="G16" s="17"/>
      <c r="H16" s="17"/>
    </row>
    <row r="17" spans="1:8" ht="18.5" x14ac:dyDescent="0.35">
      <c r="A17" s="20" t="s">
        <v>9</v>
      </c>
      <c r="B17" s="17"/>
      <c r="C17" s="17"/>
      <c r="D17" s="17"/>
      <c r="E17" s="17"/>
      <c r="F17" s="17"/>
      <c r="G17" s="17"/>
      <c r="H17" s="17"/>
    </row>
    <row r="18" spans="1:8" x14ac:dyDescent="0.35">
      <c r="A18" s="21" t="s">
        <v>10</v>
      </c>
      <c r="B18" s="17"/>
      <c r="C18" s="17"/>
      <c r="D18" s="17"/>
      <c r="E18" s="17"/>
      <c r="F18" s="17"/>
      <c r="G18" s="17"/>
      <c r="H18" s="17"/>
    </row>
    <row r="19" spans="1:8" x14ac:dyDescent="0.35">
      <c r="A19" s="21" t="s">
        <v>11</v>
      </c>
      <c r="B19" s="17"/>
      <c r="C19" s="17"/>
      <c r="D19" s="17"/>
      <c r="E19" s="17"/>
      <c r="F19" s="17"/>
      <c r="G19" s="17"/>
      <c r="H19" s="17"/>
    </row>
    <row r="20" spans="1:8" x14ac:dyDescent="0.35">
      <c r="A20" s="21" t="s">
        <v>12</v>
      </c>
      <c r="B20" s="17"/>
      <c r="C20" s="17"/>
      <c r="D20" s="17"/>
      <c r="E20" s="17"/>
      <c r="F20" s="17"/>
      <c r="G20" s="17"/>
      <c r="H20" s="17"/>
    </row>
    <row r="21" spans="1:8" x14ac:dyDescent="0.35">
      <c r="A21" s="21" t="s">
        <v>13</v>
      </c>
      <c r="B21" s="17"/>
      <c r="C21" s="17"/>
      <c r="D21" s="17"/>
      <c r="E21" s="17"/>
      <c r="F21" s="17"/>
      <c r="G21" s="17"/>
      <c r="H21" s="17"/>
    </row>
    <row r="22" spans="1:8" x14ac:dyDescent="0.35">
      <c r="A22" s="21" t="s">
        <v>14</v>
      </c>
      <c r="B22" s="17"/>
      <c r="C22" s="17"/>
      <c r="D22" s="17"/>
      <c r="E22" s="17"/>
      <c r="F22" s="17"/>
      <c r="G22" s="17"/>
      <c r="H22" s="17"/>
    </row>
    <row r="23" spans="1:8" x14ac:dyDescent="0.35">
      <c r="A23" s="21" t="s">
        <v>15</v>
      </c>
      <c r="B23" s="17"/>
      <c r="C23" s="17"/>
      <c r="D23" s="17"/>
      <c r="E23" s="17"/>
      <c r="F23" s="17"/>
      <c r="G23" s="17"/>
      <c r="H23" s="17"/>
    </row>
    <row r="24" spans="1:8" x14ac:dyDescent="0.35">
      <c r="A24" s="21" t="s">
        <v>126</v>
      </c>
      <c r="B24" s="17"/>
      <c r="C24" s="17"/>
      <c r="D24" s="17"/>
      <c r="E24" s="17"/>
      <c r="F24" s="17"/>
      <c r="G24" s="17"/>
      <c r="H24" s="17"/>
    </row>
    <row r="25" spans="1:8" x14ac:dyDescent="0.35">
      <c r="A25" s="17"/>
      <c r="B25" s="17"/>
      <c r="C25" s="17"/>
      <c r="D25" s="17"/>
      <c r="E25" s="17"/>
      <c r="F25" s="17"/>
      <c r="G25" s="17"/>
      <c r="H25" s="17"/>
    </row>
    <row r="26" spans="1:8" ht="18.5" x14ac:dyDescent="0.35">
      <c r="A26" s="20" t="s">
        <v>16</v>
      </c>
      <c r="B26" s="17"/>
      <c r="C26" s="17"/>
      <c r="D26" s="20" t="s">
        <v>17</v>
      </c>
      <c r="E26" s="17"/>
      <c r="F26" s="17"/>
      <c r="G26" s="17"/>
      <c r="H26" s="17"/>
    </row>
    <row r="27" spans="1:8" x14ac:dyDescent="0.35">
      <c r="A27" s="21" t="s">
        <v>18</v>
      </c>
      <c r="B27" s="17"/>
      <c r="C27" s="17"/>
      <c r="D27" s="21" t="s">
        <v>19</v>
      </c>
      <c r="E27" s="17"/>
      <c r="F27" s="17"/>
      <c r="G27" s="17"/>
      <c r="H27" s="17"/>
    </row>
    <row r="28" spans="1:8" x14ac:dyDescent="0.35">
      <c r="A28" s="21" t="s">
        <v>127</v>
      </c>
      <c r="B28" s="17"/>
      <c r="C28" s="17"/>
      <c r="D28" s="21" t="s">
        <v>20</v>
      </c>
      <c r="E28" s="17"/>
      <c r="F28" s="17"/>
      <c r="G28" s="17"/>
      <c r="H28" s="17"/>
    </row>
    <row r="29" spans="1:8" hidden="1" x14ac:dyDescent="0.35">
      <c r="B29" s="17"/>
      <c r="C29" s="17"/>
      <c r="D29" s="21"/>
      <c r="E29" s="17"/>
      <c r="F29" s="17"/>
      <c r="G29" s="17"/>
      <c r="H29" s="17"/>
    </row>
    <row r="30" spans="1:8" x14ac:dyDescent="0.35">
      <c r="A30" s="21" t="s">
        <v>128</v>
      </c>
      <c r="B30" s="17"/>
      <c r="C30" s="17"/>
      <c r="D30" s="21" t="s">
        <v>22</v>
      </c>
      <c r="E30" s="17"/>
      <c r="F30" s="17"/>
      <c r="G30" s="17"/>
      <c r="H30" s="17"/>
    </row>
    <row r="31" spans="1:8" x14ac:dyDescent="0.35">
      <c r="A31" s="21" t="s">
        <v>21</v>
      </c>
      <c r="B31" s="17"/>
      <c r="C31" s="17"/>
      <c r="D31" s="21" t="s">
        <v>24</v>
      </c>
      <c r="E31" s="17"/>
      <c r="F31" s="17"/>
      <c r="G31" s="17"/>
      <c r="H31" s="17"/>
    </row>
    <row r="32" spans="1:8" x14ac:dyDescent="0.35">
      <c r="A32" s="21" t="s">
        <v>23</v>
      </c>
      <c r="B32" s="17"/>
      <c r="C32" s="17"/>
      <c r="D32" s="21" t="s">
        <v>26</v>
      </c>
      <c r="E32" s="17"/>
      <c r="F32" s="17"/>
      <c r="G32" s="17"/>
      <c r="H32" s="17"/>
    </row>
    <row r="33" spans="1:8" x14ac:dyDescent="0.35">
      <c r="A33" s="21" t="s">
        <v>25</v>
      </c>
      <c r="B33" s="17"/>
      <c r="C33" s="17"/>
      <c r="D33" s="21" t="s">
        <v>28</v>
      </c>
      <c r="E33" s="17"/>
      <c r="F33" s="17"/>
      <c r="G33" s="17"/>
      <c r="H33" s="17"/>
    </row>
    <row r="34" spans="1:8" x14ac:dyDescent="0.35">
      <c r="A34" s="21" t="s">
        <v>27</v>
      </c>
      <c r="B34" s="17"/>
      <c r="C34" s="17"/>
      <c r="E34" s="17"/>
      <c r="F34" s="17"/>
      <c r="G34" s="17"/>
      <c r="H34" s="17"/>
    </row>
    <row r="35" spans="1:8" x14ac:dyDescent="0.35">
      <c r="A35" s="21" t="s">
        <v>29</v>
      </c>
      <c r="B35" s="17"/>
      <c r="C35" s="17"/>
      <c r="D35" s="17"/>
      <c r="E35" s="17"/>
      <c r="F35" s="17"/>
      <c r="G35" s="17"/>
      <c r="H35" s="17"/>
    </row>
    <row r="36" spans="1:8" x14ac:dyDescent="0.35">
      <c r="A36" s="21" t="s">
        <v>30</v>
      </c>
      <c r="B36" s="17"/>
      <c r="C36" s="17"/>
      <c r="D36" s="17"/>
      <c r="E36" s="17"/>
      <c r="F36" s="17"/>
      <c r="G36" s="17"/>
      <c r="H36" s="17"/>
    </row>
    <row r="37" spans="1:8" x14ac:dyDescent="0.35">
      <c r="A37" s="21" t="s">
        <v>31</v>
      </c>
      <c r="B37" s="17"/>
      <c r="C37" s="17"/>
      <c r="D37" s="17"/>
      <c r="E37" s="17"/>
      <c r="F37" s="17"/>
      <c r="G37" s="17"/>
      <c r="H37" s="17"/>
    </row>
    <row r="38" spans="1:8" x14ac:dyDescent="0.35">
      <c r="A38" s="3" t="s">
        <v>40</v>
      </c>
      <c r="B38" s="17"/>
      <c r="C38" s="17"/>
      <c r="D38" s="17"/>
      <c r="E38" s="17"/>
      <c r="F38" s="17"/>
      <c r="G38" s="17"/>
      <c r="H38" s="17"/>
    </row>
    <row r="39" spans="1:8" x14ac:dyDescent="0.35">
      <c r="A39" s="21" t="s">
        <v>32</v>
      </c>
      <c r="B39" s="17"/>
      <c r="C39" s="17"/>
      <c r="D39" s="17"/>
      <c r="E39" s="17"/>
      <c r="F39" s="17"/>
      <c r="G39" s="17"/>
      <c r="H39" s="17"/>
    </row>
    <row r="40" spans="1:8" x14ac:dyDescent="0.35">
      <c r="A40" s="17"/>
      <c r="B40" s="17"/>
      <c r="C40" s="17"/>
      <c r="D40" s="17"/>
      <c r="E40" s="17"/>
      <c r="F40" s="17"/>
      <c r="G40" s="17"/>
      <c r="H40" s="17"/>
    </row>
    <row r="41" spans="1:8" ht="18.5" x14ac:dyDescent="0.35">
      <c r="A41" s="20" t="s">
        <v>33</v>
      </c>
      <c r="B41" s="17"/>
      <c r="C41" s="17"/>
      <c r="D41" s="20" t="s">
        <v>34</v>
      </c>
      <c r="E41" s="17"/>
      <c r="F41" s="17"/>
      <c r="G41" s="17"/>
      <c r="H41" s="17"/>
    </row>
    <row r="42" spans="1:8" x14ac:dyDescent="0.35">
      <c r="A42" s="21" t="s">
        <v>35</v>
      </c>
      <c r="B42" s="17"/>
      <c r="C42" s="17"/>
      <c r="D42" s="21" t="s">
        <v>36</v>
      </c>
      <c r="E42" s="17"/>
      <c r="F42" s="17"/>
      <c r="G42" s="17"/>
      <c r="H42" s="17"/>
    </row>
    <row r="43" spans="1:8" x14ac:dyDescent="0.35">
      <c r="A43" s="21" t="s">
        <v>37</v>
      </c>
      <c r="B43" s="17"/>
      <c r="C43" s="17"/>
      <c r="D43" s="21" t="s">
        <v>38</v>
      </c>
      <c r="E43" s="17"/>
      <c r="F43" s="17"/>
      <c r="G43" s="17"/>
      <c r="H43" s="17"/>
    </row>
    <row r="44" spans="1:8" x14ac:dyDescent="0.35">
      <c r="A44" s="21" t="s">
        <v>131</v>
      </c>
      <c r="B44" s="17"/>
      <c r="C44" s="17"/>
      <c r="D44" s="21" t="s">
        <v>39</v>
      </c>
      <c r="E44" s="17"/>
      <c r="F44" s="17"/>
      <c r="G44" s="17"/>
      <c r="H44" s="17"/>
    </row>
    <row r="45" spans="1:8" x14ac:dyDescent="0.35">
      <c r="A45" s="21" t="s">
        <v>40</v>
      </c>
      <c r="B45" s="17"/>
      <c r="C45" s="17"/>
      <c r="D45" s="21" t="s">
        <v>41</v>
      </c>
      <c r="E45" s="17"/>
      <c r="F45" s="17"/>
      <c r="G45" s="17"/>
      <c r="H45" s="17"/>
    </row>
    <row r="46" spans="1:8" x14ac:dyDescent="0.35">
      <c r="A46" s="21" t="s">
        <v>42</v>
      </c>
      <c r="B46" s="17"/>
      <c r="C46" s="17"/>
      <c r="D46" s="21" t="s">
        <v>43</v>
      </c>
      <c r="E46" s="17"/>
      <c r="F46" s="17"/>
      <c r="G46" s="17"/>
      <c r="H46" s="17"/>
    </row>
    <row r="47" spans="1:8" x14ac:dyDescent="0.35">
      <c r="A47" s="21" t="s">
        <v>44</v>
      </c>
      <c r="B47" s="17"/>
      <c r="C47" s="17"/>
      <c r="D47" s="17"/>
      <c r="E47" s="17"/>
      <c r="F47" s="17"/>
      <c r="G47" s="17"/>
      <c r="H47" s="17"/>
    </row>
    <row r="48" spans="1:8" x14ac:dyDescent="0.35">
      <c r="A48" s="21" t="s">
        <v>45</v>
      </c>
      <c r="B48" s="17"/>
      <c r="C48" s="17"/>
      <c r="D48" s="17"/>
      <c r="E48" s="17"/>
      <c r="F48" s="17"/>
      <c r="G48" s="17"/>
      <c r="H48" s="17"/>
    </row>
    <row r="49" spans="1:8" x14ac:dyDescent="0.35">
      <c r="A49" s="21" t="s">
        <v>46</v>
      </c>
      <c r="B49" s="17"/>
      <c r="C49" s="17"/>
      <c r="D49" s="17"/>
      <c r="E49" s="17"/>
      <c r="F49" s="17"/>
      <c r="G49" s="17"/>
      <c r="H49" s="17"/>
    </row>
    <row r="50" spans="1:8" x14ac:dyDescent="0.35">
      <c r="A50" s="17"/>
      <c r="B50" s="17"/>
      <c r="C50" s="17"/>
      <c r="D50" s="17"/>
      <c r="E50" s="17"/>
      <c r="F50" s="17"/>
      <c r="G50" s="17"/>
      <c r="H50" s="17"/>
    </row>
    <row r="51" spans="1:8" ht="18.5" x14ac:dyDescent="0.35">
      <c r="A51" s="20" t="s">
        <v>47</v>
      </c>
      <c r="B51" s="17"/>
      <c r="C51" s="17"/>
      <c r="D51" s="17"/>
      <c r="E51" s="17"/>
      <c r="F51" s="17"/>
      <c r="G51" s="17"/>
      <c r="H51" s="17"/>
    </row>
    <row r="52" spans="1:8" x14ac:dyDescent="0.35">
      <c r="A52" s="21" t="s">
        <v>140</v>
      </c>
      <c r="B52" s="17"/>
      <c r="C52" s="17"/>
      <c r="D52" s="17"/>
      <c r="E52" s="17"/>
      <c r="F52" s="17"/>
      <c r="G52" s="17"/>
      <c r="H52" s="17"/>
    </row>
    <row r="53" spans="1:8" x14ac:dyDescent="0.35">
      <c r="A53" s="21" t="s">
        <v>132</v>
      </c>
      <c r="B53" s="17"/>
      <c r="C53" s="17"/>
      <c r="D53" s="17"/>
      <c r="E53" s="17"/>
      <c r="F53" s="17"/>
      <c r="G53" s="17"/>
      <c r="H53" s="17"/>
    </row>
    <row r="54" spans="1:8" x14ac:dyDescent="0.35">
      <c r="A54" s="21" t="s">
        <v>48</v>
      </c>
      <c r="B54" s="17"/>
      <c r="C54" s="17"/>
      <c r="D54" s="17"/>
      <c r="E54" s="17"/>
      <c r="F54" s="17"/>
      <c r="G54" s="17"/>
      <c r="H54" s="17"/>
    </row>
    <row r="55" spans="1:8" x14ac:dyDescent="0.35">
      <c r="A55" s="21" t="s">
        <v>49</v>
      </c>
      <c r="B55" s="17"/>
      <c r="C55" s="17"/>
      <c r="D55" s="17"/>
      <c r="E55" s="17"/>
      <c r="F55" s="17"/>
      <c r="G55" s="17"/>
      <c r="H55" s="17"/>
    </row>
    <row r="56" spans="1:8" x14ac:dyDescent="0.35">
      <c r="A56" s="21" t="s">
        <v>50</v>
      </c>
      <c r="B56" s="17"/>
      <c r="C56" s="17"/>
      <c r="D56" s="17"/>
      <c r="E56" s="17"/>
      <c r="F56" s="17"/>
      <c r="G56" s="17"/>
      <c r="H56" s="17"/>
    </row>
    <row r="57" spans="1:8" x14ac:dyDescent="0.35">
      <c r="A57" s="21" t="s">
        <v>130</v>
      </c>
      <c r="B57" s="17"/>
      <c r="C57" s="17"/>
      <c r="D57" s="17"/>
      <c r="E57" s="17"/>
      <c r="F57" s="17"/>
      <c r="G57" s="17"/>
      <c r="H57" s="17"/>
    </row>
    <row r="58" spans="1:8" x14ac:dyDescent="0.35">
      <c r="A58" s="21" t="s">
        <v>129</v>
      </c>
      <c r="B58" s="17"/>
      <c r="C58" s="17"/>
      <c r="D58" s="17"/>
      <c r="E58" s="17"/>
      <c r="F58" s="17"/>
      <c r="G58" s="17"/>
      <c r="H58" s="17"/>
    </row>
    <row r="59" spans="1:8" x14ac:dyDescent="0.35">
      <c r="A59" s="17"/>
      <c r="B59" s="17"/>
      <c r="C59" s="17"/>
      <c r="D59" s="17"/>
      <c r="E59" s="17"/>
      <c r="F59" s="17"/>
      <c r="G59" s="17"/>
      <c r="H59" s="17"/>
    </row>
    <row r="60" spans="1:8" ht="18.5" x14ac:dyDescent="0.35">
      <c r="A60" s="20" t="s">
        <v>51</v>
      </c>
      <c r="B60" s="17"/>
      <c r="C60" s="17"/>
      <c r="D60" s="17"/>
      <c r="E60" s="17"/>
      <c r="F60" s="17"/>
      <c r="G60" s="17"/>
      <c r="H60" s="17"/>
    </row>
    <row r="61" spans="1:8" ht="16" customHeight="1" x14ac:dyDescent="0.35">
      <c r="A61" s="87" t="s">
        <v>141</v>
      </c>
      <c r="B61" s="45"/>
      <c r="C61" s="45"/>
      <c r="D61" s="45"/>
      <c r="E61" s="45"/>
      <c r="F61" s="45"/>
      <c r="G61" s="45"/>
      <c r="H61" s="45"/>
    </row>
    <row r="62" spans="1:8" ht="16" customHeight="1" x14ac:dyDescent="0.35">
      <c r="A62" s="45"/>
      <c r="B62" s="45"/>
      <c r="C62" s="45"/>
      <c r="D62" s="45"/>
      <c r="E62" s="45"/>
      <c r="F62" s="45"/>
      <c r="G62" s="45"/>
      <c r="H62" s="45"/>
    </row>
    <row r="63" spans="1:8" ht="16" customHeight="1" x14ac:dyDescent="0.35">
      <c r="A63" s="45"/>
      <c r="B63" s="45"/>
      <c r="C63" s="45"/>
      <c r="D63" s="45"/>
      <c r="E63" s="45"/>
      <c r="F63" s="45"/>
      <c r="G63" s="45"/>
      <c r="H63" s="45"/>
    </row>
    <row r="64" spans="1:8" ht="16" customHeight="1" x14ac:dyDescent="0.35">
      <c r="A64" s="45"/>
      <c r="B64" s="45"/>
      <c r="C64" s="45"/>
      <c r="D64" s="45"/>
      <c r="E64" s="45"/>
      <c r="F64" s="45"/>
      <c r="G64" s="45"/>
      <c r="H64" s="45"/>
    </row>
    <row r="65" spans="1:8" x14ac:dyDescent="0.35">
      <c r="A65" s="17"/>
      <c r="B65" s="17"/>
      <c r="C65" s="17"/>
      <c r="D65" s="17"/>
      <c r="E65" s="17"/>
      <c r="F65" s="17"/>
      <c r="G65" s="17"/>
      <c r="H65" s="17"/>
    </row>
    <row r="66" spans="1:8" x14ac:dyDescent="0.35">
      <c r="A66" s="17"/>
      <c r="B66" s="17"/>
      <c r="C66" s="17"/>
      <c r="D66" s="17"/>
      <c r="E66" s="17"/>
      <c r="F66" s="17"/>
      <c r="G66" s="17"/>
      <c r="H66" s="17"/>
    </row>
    <row r="67" spans="1:8" x14ac:dyDescent="0.35">
      <c r="A67" s="17"/>
      <c r="B67" s="17"/>
      <c r="C67" s="17"/>
      <c r="D67" s="17"/>
      <c r="E67" s="17"/>
      <c r="F67" s="17"/>
      <c r="G67" s="17"/>
      <c r="H67" s="17"/>
    </row>
    <row r="68" spans="1:8" x14ac:dyDescent="0.35">
      <c r="A68" s="17"/>
      <c r="B68" s="17"/>
      <c r="C68" s="17"/>
      <c r="D68" s="17"/>
      <c r="E68" s="17"/>
      <c r="F68" s="17"/>
      <c r="G68" s="17"/>
      <c r="H68" s="17"/>
    </row>
  </sheetData>
  <mergeCells count="3">
    <mergeCell ref="A5:H8"/>
    <mergeCell ref="A1:H2"/>
    <mergeCell ref="A61:H64"/>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Product Master</vt:lpstr>
      <vt:lpstr>Weekly Insights</vt:lpstr>
      <vt:lpstr>Suitcase Series</vt:lpstr>
      <vt:lpstr>Pivot Tables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Prajval P</dc:creator>
  <cp:lastModifiedBy>Prajval P</cp:lastModifiedBy>
  <cp:revision>0</cp:revision>
  <cp:lastPrinted>2026-08-10T05:44:21Z</cp:lastPrinted>
  <dcterms:created xsi:type="dcterms:W3CDTF">2015-06-05T18:17:20Z</dcterms:created>
  <dcterms:modified xsi:type="dcterms:W3CDTF">2026-08-14T09:45:52Z</dcterms:modified>
  <dc:language>en-US</dc:language>
</cp:coreProperties>
</file>